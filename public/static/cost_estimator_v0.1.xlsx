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3abcf96c06f732b/personale/40_giochi/kingshot/"/>
    </mc:Choice>
  </mc:AlternateContent>
  <xr:revisionPtr revIDLastSave="57" documentId="11_F25DC773A252ABDACC10484359DC4DE65BDE58E4" xr6:coauthVersionLast="47" xr6:coauthVersionMax="47" xr10:uidLastSave="{4CD76983-80AC-4164-AE9D-0265ADE9272B}"/>
  <bookViews>
    <workbookView xWindow="-120" yWindow="-120" windowWidth="38640" windowHeight="21120" xr2:uid="{00000000-000D-0000-FFFF-FFFF00000000}"/>
  </bookViews>
  <sheets>
    <sheet name="constructions" sheetId="3" r:id="rId1"/>
    <sheet name="time saving" sheetId="1" r:id="rId2"/>
    <sheet name="cost sav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3" l="1"/>
  <c r="Q12" i="3"/>
  <c r="P12" i="3"/>
  <c r="O12" i="3"/>
  <c r="N12" i="3"/>
  <c r="Q11" i="3"/>
  <c r="Q10" i="3"/>
  <c r="Q9" i="3"/>
  <c r="Q8" i="3"/>
  <c r="Q7" i="3"/>
  <c r="Q6" i="3"/>
  <c r="Q5" i="3"/>
  <c r="Q4" i="3"/>
  <c r="P11" i="3"/>
  <c r="O11" i="3"/>
  <c r="N11" i="3"/>
  <c r="M11" i="3"/>
  <c r="P10" i="3"/>
  <c r="O10" i="3"/>
  <c r="N10" i="3"/>
  <c r="M10" i="3"/>
  <c r="P9" i="3"/>
  <c r="O9" i="3"/>
  <c r="N9" i="3"/>
  <c r="M9" i="3"/>
  <c r="P8" i="3"/>
  <c r="O8" i="3"/>
  <c r="N8" i="3"/>
  <c r="M8" i="3"/>
  <c r="P7" i="3"/>
  <c r="O7" i="3"/>
  <c r="N7" i="3"/>
  <c r="M7" i="3"/>
  <c r="P6" i="3"/>
  <c r="O6" i="3"/>
  <c r="N6" i="3"/>
  <c r="M6" i="3"/>
  <c r="P5" i="3"/>
  <c r="O5" i="3"/>
  <c r="N5" i="3"/>
  <c r="M5" i="3"/>
  <c r="P4" i="3"/>
  <c r="O4" i="3"/>
  <c r="N4" i="3"/>
  <c r="M4" i="3"/>
  <c r="P3" i="3"/>
  <c r="O3" i="3"/>
  <c r="N3" i="3"/>
  <c r="M3" i="3"/>
  <c r="K11" i="3"/>
  <c r="K10" i="3"/>
  <c r="K9" i="3"/>
  <c r="K8" i="3"/>
  <c r="K7" i="3"/>
  <c r="K6" i="3"/>
  <c r="K5" i="3"/>
  <c r="K4" i="3"/>
  <c r="Q3" i="3"/>
  <c r="K3" i="3"/>
  <c r="B4" i="2"/>
  <c r="B9" i="1"/>
</calcChain>
</file>

<file path=xl/sharedStrings.xml><?xml version="1.0" encoding="utf-8"?>
<sst xmlns="http://schemas.openxmlformats.org/spreadsheetml/2006/main" count="72" uniqueCount="40">
  <si>
    <t>time saving</t>
  </si>
  <si>
    <t>%</t>
  </si>
  <si>
    <t>Active</t>
  </si>
  <si>
    <t>Double time</t>
  </si>
  <si>
    <t>Y</t>
  </si>
  <si>
    <t>VIP 4</t>
  </si>
  <si>
    <t>Island construction speedup</t>
  </si>
  <si>
    <t>Saul passive</t>
  </si>
  <si>
    <t>island - halo of valor</t>
  </si>
  <si>
    <t>island - construction gut</t>
  </si>
  <si>
    <t>Total</t>
  </si>
  <si>
    <t>construction costs reduction</t>
  </si>
  <si>
    <t>base stats</t>
  </si>
  <si>
    <t>already paid</t>
  </si>
  <si>
    <t>actual stats</t>
  </si>
  <si>
    <t>Structure</t>
  </si>
  <si>
    <t>Include</t>
  </si>
  <si>
    <t>Requirements</t>
  </si>
  <si>
    <t>bread</t>
  </si>
  <si>
    <t>wood</t>
  </si>
  <si>
    <t>stone</t>
  </si>
  <si>
    <t>iron</t>
  </si>
  <si>
    <t>days</t>
  </si>
  <si>
    <t>hours</t>
  </si>
  <si>
    <t>minutes</t>
  </si>
  <si>
    <t>time (h)</t>
  </si>
  <si>
    <t>time left (h)</t>
  </si>
  <si>
    <t>TC 25</t>
  </si>
  <si>
    <t>TC 26</t>
  </si>
  <si>
    <t>Embassy 25</t>
  </si>
  <si>
    <t>Range 25</t>
  </si>
  <si>
    <t>Range 26</t>
  </si>
  <si>
    <t>Stable 25</t>
  </si>
  <si>
    <t>Stable 26</t>
  </si>
  <si>
    <t>Infantry 25</t>
  </si>
  <si>
    <t>Infantry 26</t>
  </si>
  <si>
    <t>Embassy 25, Range 25</t>
  </si>
  <si>
    <t>TC 24</t>
  </si>
  <si>
    <r>
      <t xml:space="preserve">^ </t>
    </r>
    <r>
      <rPr>
        <b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to include this structure in the calculation</t>
    </r>
  </si>
  <si>
    <t>^ if you already started construction, set here the hours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</si>
</sst>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7" formatCode="_-* #,##0.00_-;\-* #,##0.00_-;_-* &quot;-&quot;??_-;_-@_-"/>
    <numFmt numFmtId="168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2"/>
    <xf numFmtId="0" fontId="4" fillId="0" borderId="0" xfId="2" applyFont="1"/>
    <xf numFmtId="9" fontId="3" fillId="0" borderId="0" xfId="2" applyNumberFormat="1"/>
    <xf numFmtId="9" fontId="4" fillId="0" borderId="0" xfId="4" applyFont="1"/>
    <xf numFmtId="0" fontId="4" fillId="0" borderId="0" xfId="0" applyFont="1"/>
    <xf numFmtId="9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0" borderId="4" xfId="0" applyBorder="1"/>
    <xf numFmtId="0" fontId="0" fillId="0" borderId="5" xfId="0" applyBorder="1"/>
    <xf numFmtId="168" fontId="0" fillId="0" borderId="4" xfId="1" applyNumberFormat="1" applyFont="1" applyBorder="1"/>
    <xf numFmtId="168" fontId="0" fillId="0" borderId="0" xfId="1" applyNumberFormat="1" applyFont="1" applyBorder="1"/>
    <xf numFmtId="168" fontId="0" fillId="0" borderId="5" xfId="1" applyNumberFormat="1" applyFont="1" applyBorder="1"/>
    <xf numFmtId="0" fontId="0" fillId="0" borderId="6" xfId="0" applyBorder="1"/>
    <xf numFmtId="0" fontId="0" fillId="0" borderId="8" xfId="0" applyBorder="1"/>
    <xf numFmtId="168" fontId="0" fillId="0" borderId="6" xfId="1" applyNumberFormat="1" applyFont="1" applyBorder="1"/>
    <xf numFmtId="168" fontId="0" fillId="0" borderId="7" xfId="1" applyNumberFormat="1" applyFont="1" applyBorder="1"/>
    <xf numFmtId="168" fontId="0" fillId="0" borderId="8" xfId="1" applyNumberFormat="1" applyFont="1" applyBorder="1"/>
    <xf numFmtId="168" fontId="4" fillId="0" borderId="0" xfId="1" applyNumberFormat="1" applyFont="1"/>
    <xf numFmtId="168" fontId="0" fillId="0" borderId="1" xfId="1" applyNumberFormat="1" applyFont="1" applyBorder="1"/>
    <xf numFmtId="168" fontId="0" fillId="0" borderId="3" xfId="1" applyNumberFormat="1" applyFont="1" applyBorder="1"/>
    <xf numFmtId="0" fontId="0" fillId="2" borderId="0" xfId="0" applyFill="1"/>
    <xf numFmtId="0" fontId="0" fillId="2" borderId="7" xfId="0" applyFill="1" applyBorder="1"/>
    <xf numFmtId="0" fontId="0" fillId="0" borderId="0" xfId="0" applyFill="1" applyBorder="1"/>
    <xf numFmtId="0" fontId="3" fillId="2" borderId="0" xfId="2" applyFill="1"/>
  </cellXfs>
  <cellStyles count="5">
    <cellStyle name="Comma" xfId="1" builtinId="3"/>
    <cellStyle name="Comma 2" xfId="3" xr:uid="{AB364854-4FB4-4D50-9C7F-308C02359C63}"/>
    <cellStyle name="Normal" xfId="0" builtinId="0"/>
    <cellStyle name="Normal 2" xfId="2" xr:uid="{F0E9B811-1C4A-4506-BA3A-A17DB62162FE}"/>
    <cellStyle name="Percent 2" xfId="4" xr:uid="{31D9E62D-E9B1-4EA1-9590-B85E0627E5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6000-4593-44A8-BB6C-312660EEE967}">
  <dimension ref="A1:Q14"/>
  <sheetViews>
    <sheetView tabSelected="1" workbookViewId="0">
      <selection activeCell="E17" sqref="E17"/>
    </sheetView>
  </sheetViews>
  <sheetFormatPr defaultRowHeight="15" x14ac:dyDescent="0.25"/>
  <cols>
    <col min="1" max="1" width="11" bestFit="1" customWidth="1"/>
    <col min="2" max="2" width="8" bestFit="1" customWidth="1"/>
    <col min="3" max="3" width="20.140625" bestFit="1" customWidth="1"/>
    <col min="4" max="5" width="12.5703125" bestFit="1" customWidth="1"/>
    <col min="6" max="6" width="11.5703125" bestFit="1" customWidth="1"/>
    <col min="7" max="7" width="10.5703125" bestFit="1" customWidth="1"/>
    <col min="8" max="8" width="5.5703125" bestFit="1" customWidth="1"/>
    <col min="9" max="9" width="6" bestFit="1" customWidth="1"/>
    <col min="10" max="11" width="8.140625" bestFit="1" customWidth="1"/>
    <col min="12" max="12" width="13.5703125" bestFit="1" customWidth="1"/>
    <col min="13" max="14" width="12.5703125" bestFit="1" customWidth="1"/>
    <col min="15" max="16" width="11.5703125" bestFit="1" customWidth="1"/>
    <col min="17" max="17" width="8.42578125" bestFit="1" customWidth="1"/>
  </cols>
  <sheetData>
    <row r="1" spans="1:17" x14ac:dyDescent="0.25">
      <c r="A1" s="8"/>
      <c r="B1" s="9"/>
      <c r="C1" s="10"/>
      <c r="D1" s="11" t="s">
        <v>12</v>
      </c>
      <c r="E1" s="12"/>
      <c r="F1" s="12"/>
      <c r="G1" s="12"/>
      <c r="H1" s="12"/>
      <c r="I1" s="12"/>
      <c r="J1" s="12"/>
      <c r="K1" s="12"/>
      <c r="L1" s="13" t="s">
        <v>13</v>
      </c>
      <c r="M1" s="11" t="s">
        <v>14</v>
      </c>
      <c r="N1" s="12"/>
      <c r="O1" s="12"/>
      <c r="P1" s="12"/>
      <c r="Q1" s="14"/>
    </row>
    <row r="2" spans="1:17" x14ac:dyDescent="0.25">
      <c r="A2" s="15" t="s">
        <v>15</v>
      </c>
      <c r="B2" s="16" t="s">
        <v>16</v>
      </c>
      <c r="C2" s="17" t="s">
        <v>17</v>
      </c>
      <c r="D2" s="15" t="s">
        <v>18</v>
      </c>
      <c r="E2" s="16" t="s">
        <v>19</v>
      </c>
      <c r="F2" s="16" t="s">
        <v>20</v>
      </c>
      <c r="G2" s="16" t="s">
        <v>21</v>
      </c>
      <c r="H2" s="16" t="s">
        <v>22</v>
      </c>
      <c r="I2" s="16" t="s">
        <v>23</v>
      </c>
      <c r="J2" s="16" t="s">
        <v>24</v>
      </c>
      <c r="K2" s="16" t="s">
        <v>25</v>
      </c>
      <c r="L2" s="17" t="s">
        <v>26</v>
      </c>
      <c r="M2" s="15" t="s">
        <v>18</v>
      </c>
      <c r="N2" s="16" t="s">
        <v>19</v>
      </c>
      <c r="O2" s="16" t="s">
        <v>20</v>
      </c>
      <c r="P2" s="16" t="s">
        <v>21</v>
      </c>
      <c r="Q2" s="17" t="s">
        <v>25</v>
      </c>
    </row>
    <row r="3" spans="1:17" x14ac:dyDescent="0.25">
      <c r="A3" s="18" t="s">
        <v>27</v>
      </c>
      <c r="B3" s="31" t="s">
        <v>4</v>
      </c>
      <c r="C3" s="19"/>
      <c r="D3" s="20">
        <v>81000000</v>
      </c>
      <c r="E3" s="21">
        <v>81000000</v>
      </c>
      <c r="F3" s="21">
        <v>16000000</v>
      </c>
      <c r="G3" s="21">
        <v>3000000</v>
      </c>
      <c r="H3" s="21">
        <v>18</v>
      </c>
      <c r="I3" s="21">
        <v>8</v>
      </c>
      <c r="J3" s="21">
        <v>22</v>
      </c>
      <c r="K3" s="21">
        <f>J3/60+I3+H3*24</f>
        <v>440.36666666666667</v>
      </c>
      <c r="L3" s="22">
        <v>164</v>
      </c>
      <c r="M3" s="29">
        <f>IF($L3="",D3*(1-'cost saving'!$B$4),0)</f>
        <v>0</v>
      </c>
      <c r="N3" s="29">
        <f>IF($L3="",E3*(1-'cost saving'!$B$4),0)</f>
        <v>0</v>
      </c>
      <c r="O3" s="29">
        <f>IF($L3="",F3*(1-'cost saving'!$B$4),0)</f>
        <v>0</v>
      </c>
      <c r="P3" s="29">
        <f>IF($L3="",G3*(1-'cost saving'!$B$4),0)</f>
        <v>0</v>
      </c>
      <c r="Q3" s="30">
        <f>IF(L3="",K3*(1-$B$9),L3)</f>
        <v>164</v>
      </c>
    </row>
    <row r="4" spans="1:17" x14ac:dyDescent="0.25">
      <c r="A4" s="18" t="s">
        <v>28</v>
      </c>
      <c r="B4" s="31" t="s">
        <v>4</v>
      </c>
      <c r="C4" s="19" t="s">
        <v>36</v>
      </c>
      <c r="D4" s="20">
        <v>100000000</v>
      </c>
      <c r="E4" s="21">
        <v>100000000</v>
      </c>
      <c r="F4" s="21">
        <v>21000000</v>
      </c>
      <c r="G4" s="21">
        <v>4000000</v>
      </c>
      <c r="H4" s="21">
        <v>21</v>
      </c>
      <c r="I4" s="21">
        <v>2</v>
      </c>
      <c r="J4" s="21">
        <v>26</v>
      </c>
      <c r="K4" s="21">
        <f t="shared" ref="K4:K11" si="0">J4/60+I4+H4*24</f>
        <v>506.43333333333334</v>
      </c>
      <c r="L4" s="22"/>
      <c r="M4" s="20">
        <f>IF($L4="",D4*(1-'cost saving'!$B$4),0)</f>
        <v>88000000</v>
      </c>
      <c r="N4" s="20">
        <f>IF($L4="",E4*(1-'cost saving'!$B$4),0)</f>
        <v>88000000</v>
      </c>
      <c r="O4" s="20">
        <f>IF($L4="",F4*(1-'cost saving'!$B$4),0)</f>
        <v>18480000</v>
      </c>
      <c r="P4" s="20">
        <f>IF($L4="",G4*(1-'cost saving'!$B$4),0)</f>
        <v>3520000</v>
      </c>
      <c r="Q4" s="22">
        <f>IF(L4="",K4*(1-'time saving'!$B$9),L4)</f>
        <v>212.70199999999997</v>
      </c>
    </row>
    <row r="5" spans="1:17" x14ac:dyDescent="0.25">
      <c r="A5" s="18" t="s">
        <v>29</v>
      </c>
      <c r="B5" s="31" t="s">
        <v>4</v>
      </c>
      <c r="C5" s="19" t="s">
        <v>37</v>
      </c>
      <c r="D5" s="20">
        <v>16000000</v>
      </c>
      <c r="E5" s="21">
        <v>16000000</v>
      </c>
      <c r="F5" s="21">
        <v>3200000</v>
      </c>
      <c r="G5" s="21">
        <v>810000</v>
      </c>
      <c r="H5">
        <v>12</v>
      </c>
      <c r="I5">
        <v>2</v>
      </c>
      <c r="J5">
        <v>38</v>
      </c>
      <c r="K5" s="21">
        <f t="shared" si="0"/>
        <v>290.63333333333333</v>
      </c>
      <c r="L5" s="22"/>
      <c r="M5" s="20">
        <f>IF($L5="",D5*(1-'cost saving'!$B$4),0)</f>
        <v>14080000</v>
      </c>
      <c r="N5" s="20">
        <f>IF($L5="",E5*(1-'cost saving'!$B$4),0)</f>
        <v>14080000</v>
      </c>
      <c r="O5" s="20">
        <f>IF($L5="",F5*(1-'cost saving'!$B$4),0)</f>
        <v>2816000</v>
      </c>
      <c r="P5" s="20">
        <f>IF($L5="",G5*(1-'cost saving'!$B$4),0)</f>
        <v>712800</v>
      </c>
      <c r="Q5" s="22">
        <f>IF(L5="",K5*(1-'time saving'!$B$9),L5)</f>
        <v>122.06599999999997</v>
      </c>
    </row>
    <row r="6" spans="1:17" x14ac:dyDescent="0.25">
      <c r="A6" s="18" t="s">
        <v>30</v>
      </c>
      <c r="B6" s="31" t="s">
        <v>4</v>
      </c>
      <c r="C6" s="19" t="s">
        <v>27</v>
      </c>
      <c r="D6" s="20">
        <v>28000000</v>
      </c>
      <c r="E6" s="21">
        <v>28000000</v>
      </c>
      <c r="F6" s="21">
        <v>5700000</v>
      </c>
      <c r="G6" s="21">
        <v>1400000</v>
      </c>
      <c r="H6" s="21">
        <v>2</v>
      </c>
      <c r="I6" s="21">
        <v>18</v>
      </c>
      <c r="J6" s="21">
        <v>3</v>
      </c>
      <c r="K6" s="21">
        <f t="shared" si="0"/>
        <v>66.05</v>
      </c>
      <c r="L6" s="22"/>
      <c r="M6" s="20">
        <f>IF($L6="",D6*(1-'cost saving'!$B$4),0)</f>
        <v>24640000</v>
      </c>
      <c r="N6" s="20">
        <f>IF($L6="",E6*(1-'cost saving'!$B$4),0)</f>
        <v>24640000</v>
      </c>
      <c r="O6" s="20">
        <f>IF($L6="",F6*(1-'cost saving'!$B$4),0)</f>
        <v>5016000</v>
      </c>
      <c r="P6" s="20">
        <f>IF($L6="",G6*(1-'cost saving'!$B$4),0)</f>
        <v>1232000</v>
      </c>
      <c r="Q6" s="22">
        <f>IF(L6="",K6*(1-'time saving'!$B$9),L6)</f>
        <v>27.740999999999993</v>
      </c>
    </row>
    <row r="7" spans="1:17" x14ac:dyDescent="0.25">
      <c r="A7" s="18" t="s">
        <v>31</v>
      </c>
      <c r="B7" s="31" t="s">
        <v>4</v>
      </c>
      <c r="C7" s="19" t="s">
        <v>28</v>
      </c>
      <c r="D7" s="20">
        <v>36000000</v>
      </c>
      <c r="E7" s="21">
        <v>36000000</v>
      </c>
      <c r="F7" s="21">
        <v>7300000</v>
      </c>
      <c r="G7" s="21">
        <v>1800000</v>
      </c>
      <c r="H7" s="21">
        <v>3</v>
      </c>
      <c r="I7" s="21">
        <v>3</v>
      </c>
      <c r="J7" s="21">
        <v>57</v>
      </c>
      <c r="K7" s="21">
        <f t="shared" si="0"/>
        <v>75.95</v>
      </c>
      <c r="L7" s="22"/>
      <c r="M7" s="20">
        <f>IF($L7="",D7*(1-'cost saving'!$B$4),0)</f>
        <v>31680000</v>
      </c>
      <c r="N7" s="20">
        <f>IF($L7="",E7*(1-'cost saving'!$B$4),0)</f>
        <v>31680000</v>
      </c>
      <c r="O7" s="20">
        <f>IF($L7="",F7*(1-'cost saving'!$B$4),0)</f>
        <v>6424000</v>
      </c>
      <c r="P7" s="20">
        <f>IF($L7="",G7*(1-'cost saving'!$B$4),0)</f>
        <v>1584000</v>
      </c>
      <c r="Q7" s="22">
        <f>IF(L7="",K7*(1-'time saving'!$B$9),L7)</f>
        <v>31.898999999999997</v>
      </c>
    </row>
    <row r="8" spans="1:17" x14ac:dyDescent="0.25">
      <c r="A8" s="18" t="s">
        <v>32</v>
      </c>
      <c r="B8" s="31" t="s">
        <v>4</v>
      </c>
      <c r="C8" s="19" t="s">
        <v>27</v>
      </c>
      <c r="D8" s="20">
        <v>28000000</v>
      </c>
      <c r="E8" s="21">
        <v>28000000</v>
      </c>
      <c r="F8" s="21">
        <v>5700000</v>
      </c>
      <c r="G8" s="21">
        <v>1400000</v>
      </c>
      <c r="H8" s="21">
        <v>2</v>
      </c>
      <c r="I8" s="21">
        <v>18</v>
      </c>
      <c r="J8" s="21">
        <v>3</v>
      </c>
      <c r="K8" s="21">
        <f t="shared" si="0"/>
        <v>66.05</v>
      </c>
      <c r="L8" s="22"/>
      <c r="M8" s="20">
        <f>IF($L8="",D8*(1-'cost saving'!$B$4),0)</f>
        <v>24640000</v>
      </c>
      <c r="N8" s="20">
        <f>IF($L8="",E8*(1-'cost saving'!$B$4),0)</f>
        <v>24640000</v>
      </c>
      <c r="O8" s="20">
        <f>IF($L8="",F8*(1-'cost saving'!$B$4),0)</f>
        <v>5016000</v>
      </c>
      <c r="P8" s="20">
        <f>IF($L8="",G8*(1-'cost saving'!$B$4),0)</f>
        <v>1232000</v>
      </c>
      <c r="Q8" s="22">
        <f>IF(L8="",K8*(1-'time saving'!$B$9),L8)</f>
        <v>27.740999999999993</v>
      </c>
    </row>
    <row r="9" spans="1:17" x14ac:dyDescent="0.25">
      <c r="A9" s="18" t="s">
        <v>33</v>
      </c>
      <c r="B9" s="31" t="s">
        <v>4</v>
      </c>
      <c r="C9" s="19" t="s">
        <v>28</v>
      </c>
      <c r="D9" s="20">
        <v>36000000</v>
      </c>
      <c r="E9" s="21">
        <v>36000000</v>
      </c>
      <c r="F9" s="21">
        <v>7300000</v>
      </c>
      <c r="G9" s="21">
        <v>1800000</v>
      </c>
      <c r="H9" s="21">
        <v>3</v>
      </c>
      <c r="I9" s="21">
        <v>3</v>
      </c>
      <c r="J9" s="21">
        <v>57</v>
      </c>
      <c r="K9" s="21">
        <f t="shared" si="0"/>
        <v>75.95</v>
      </c>
      <c r="L9" s="22"/>
      <c r="M9" s="20">
        <f>IF($L9="",D9*(1-'cost saving'!$B$4),0)</f>
        <v>31680000</v>
      </c>
      <c r="N9" s="20">
        <f>IF($L9="",E9*(1-'cost saving'!$B$4),0)</f>
        <v>31680000</v>
      </c>
      <c r="O9" s="20">
        <f>IF($L9="",F9*(1-'cost saving'!$B$4),0)</f>
        <v>6424000</v>
      </c>
      <c r="P9" s="20">
        <f>IF($L9="",G9*(1-'cost saving'!$B$4),0)</f>
        <v>1584000</v>
      </c>
      <c r="Q9" s="22">
        <f>IF(L9="",K9*(1-'time saving'!$B$9),L9)</f>
        <v>31.898999999999997</v>
      </c>
    </row>
    <row r="10" spans="1:17" x14ac:dyDescent="0.25">
      <c r="A10" s="18" t="s">
        <v>34</v>
      </c>
      <c r="B10" s="31" t="s">
        <v>4</v>
      </c>
      <c r="C10" s="19" t="s">
        <v>27</v>
      </c>
      <c r="D10" s="20">
        <v>28000000</v>
      </c>
      <c r="E10" s="21">
        <v>28000000</v>
      </c>
      <c r="F10" s="21">
        <v>5700000</v>
      </c>
      <c r="G10" s="21">
        <v>1400000</v>
      </c>
      <c r="H10" s="21">
        <v>2</v>
      </c>
      <c r="I10" s="21">
        <v>18</v>
      </c>
      <c r="J10" s="21">
        <v>3</v>
      </c>
      <c r="K10" s="21">
        <f t="shared" si="0"/>
        <v>66.05</v>
      </c>
      <c r="L10" s="22"/>
      <c r="M10" s="20">
        <f>IF($L10="",D10*(1-'cost saving'!$B$4),0)</f>
        <v>24640000</v>
      </c>
      <c r="N10" s="20">
        <f>IF($L10="",E10*(1-'cost saving'!$B$4),0)</f>
        <v>24640000</v>
      </c>
      <c r="O10" s="20">
        <f>IF($L10="",F10*(1-'cost saving'!$B$4),0)</f>
        <v>5016000</v>
      </c>
      <c r="P10" s="20">
        <f>IF($L10="",G10*(1-'cost saving'!$B$4),0)</f>
        <v>1232000</v>
      </c>
      <c r="Q10" s="22">
        <f>IF(L10="",K10*(1-'time saving'!$B$9),L10)</f>
        <v>27.740999999999993</v>
      </c>
    </row>
    <row r="11" spans="1:17" x14ac:dyDescent="0.25">
      <c r="A11" s="23" t="s">
        <v>35</v>
      </c>
      <c r="B11" s="32" t="s">
        <v>4</v>
      </c>
      <c r="C11" s="24" t="s">
        <v>28</v>
      </c>
      <c r="D11" s="25">
        <v>36000000</v>
      </c>
      <c r="E11" s="26">
        <v>36000000</v>
      </c>
      <c r="F11" s="26">
        <v>7300000</v>
      </c>
      <c r="G11" s="26">
        <v>1800000</v>
      </c>
      <c r="H11" s="26">
        <v>3</v>
      </c>
      <c r="I11" s="26">
        <v>3</v>
      </c>
      <c r="J11" s="26">
        <v>57</v>
      </c>
      <c r="K11" s="26">
        <f t="shared" si="0"/>
        <v>75.95</v>
      </c>
      <c r="L11" s="27"/>
      <c r="M11" s="25">
        <f>IF($L11="",D11*(1-'cost saving'!$B$4),0)</f>
        <v>31680000</v>
      </c>
      <c r="N11" s="25">
        <f>IF($L11="",E11*(1-'cost saving'!$B$4),0)</f>
        <v>31680000</v>
      </c>
      <c r="O11" s="25">
        <f>IF($L11="",F11*(1-'cost saving'!$B$4),0)</f>
        <v>6424000</v>
      </c>
      <c r="P11" s="25">
        <f>IF($L11="",G11*(1-'cost saving'!$B$4),0)</f>
        <v>1584000</v>
      </c>
      <c r="Q11" s="27">
        <f>IF(L11="",K11*(1-'time saving'!$B$9),L11)</f>
        <v>31.898999999999997</v>
      </c>
    </row>
    <row r="12" spans="1:17" x14ac:dyDescent="0.25">
      <c r="M12" s="28">
        <f>SUMIFS(M$3:M$11,$B$3:$B$11,"Y")</f>
        <v>271040000</v>
      </c>
      <c r="N12" s="28">
        <f t="shared" ref="N12:Q13" si="1">SUMIFS(N$3:N$11,$B$3:$B$11,"Y")</f>
        <v>271040000</v>
      </c>
      <c r="O12" s="28">
        <f t="shared" si="1"/>
        <v>55616000</v>
      </c>
      <c r="P12" s="28">
        <f t="shared" si="1"/>
        <v>12680800</v>
      </c>
      <c r="Q12" s="28">
        <f t="shared" si="1"/>
        <v>677.68799999999999</v>
      </c>
    </row>
    <row r="14" spans="1:17" x14ac:dyDescent="0.25">
      <c r="B14" s="33" t="s">
        <v>38</v>
      </c>
      <c r="L14" t="s">
        <v>39</v>
      </c>
    </row>
  </sheetData>
  <mergeCells count="2">
    <mergeCell ref="D1:K1"/>
    <mergeCell ref="M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E19" sqref="E19"/>
    </sheetView>
  </sheetViews>
  <sheetFormatPr defaultRowHeight="15" x14ac:dyDescent="0.25"/>
  <cols>
    <col min="1" max="1" width="27.42578125" bestFit="1" customWidth="1"/>
    <col min="2" max="2" width="4.5703125" bestFit="1" customWidth="1"/>
    <col min="3" max="3" width="6.855468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3">
        <v>0.2</v>
      </c>
      <c r="C2" s="34" t="s">
        <v>4</v>
      </c>
    </row>
    <row r="3" spans="1:3" x14ac:dyDescent="0.25">
      <c r="A3" s="1" t="s">
        <v>5</v>
      </c>
      <c r="B3" s="3">
        <v>0.1</v>
      </c>
      <c r="C3" s="34" t="s">
        <v>4</v>
      </c>
    </row>
    <row r="4" spans="1:3" x14ac:dyDescent="0.25">
      <c r="A4" s="1" t="s">
        <v>6</v>
      </c>
      <c r="B4" s="3">
        <v>0.06</v>
      </c>
      <c r="C4" s="34" t="s">
        <v>4</v>
      </c>
    </row>
    <row r="5" spans="1:3" x14ac:dyDescent="0.25">
      <c r="A5" s="1" t="s">
        <v>7</v>
      </c>
      <c r="B5" s="3">
        <v>0.12</v>
      </c>
      <c r="C5" s="34" t="s">
        <v>4</v>
      </c>
    </row>
    <row r="6" spans="1:3" x14ac:dyDescent="0.25">
      <c r="A6" s="1" t="s">
        <v>8</v>
      </c>
      <c r="B6" s="3">
        <v>0.04</v>
      </c>
      <c r="C6" s="34" t="s">
        <v>4</v>
      </c>
    </row>
    <row r="7" spans="1:3" x14ac:dyDescent="0.25">
      <c r="A7" s="1" t="s">
        <v>9</v>
      </c>
      <c r="B7" s="3">
        <v>0.06</v>
      </c>
      <c r="C7" s="34" t="s">
        <v>4</v>
      </c>
    </row>
    <row r="8" spans="1:3" x14ac:dyDescent="0.25">
      <c r="A8" s="1"/>
      <c r="B8" s="1"/>
      <c r="C8" s="1"/>
    </row>
    <row r="9" spans="1:3" x14ac:dyDescent="0.25">
      <c r="A9" s="2" t="s">
        <v>10</v>
      </c>
      <c r="B9" s="4">
        <f>SUMIFS(B2:B8,C2:C8,"Y")</f>
        <v>0.58000000000000007</v>
      </c>
      <c r="C9" s="1"/>
    </row>
    <row r="11" spans="1:3" x14ac:dyDescent="0.25">
      <c r="C11" s="3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3D0C-DE55-4743-A089-EF9A15C4BCAD}">
  <dimension ref="A1:D6"/>
  <sheetViews>
    <sheetView workbookViewId="0">
      <selection activeCell="D11" sqref="D11"/>
    </sheetView>
  </sheetViews>
  <sheetFormatPr defaultRowHeight="15" x14ac:dyDescent="0.25"/>
  <cols>
    <col min="1" max="1" width="27.42578125" bestFit="1" customWidth="1"/>
    <col min="2" max="2" width="4.5703125" bestFit="1" customWidth="1"/>
    <col min="3" max="3" width="6.85546875" bestFit="1" customWidth="1"/>
  </cols>
  <sheetData>
    <row r="1" spans="1:4" x14ac:dyDescent="0.25">
      <c r="A1" s="5" t="s">
        <v>11</v>
      </c>
      <c r="B1" s="5" t="s">
        <v>1</v>
      </c>
      <c r="C1" s="5" t="s">
        <v>2</v>
      </c>
      <c r="D1" s="7"/>
    </row>
    <row r="2" spans="1:4" x14ac:dyDescent="0.25">
      <c r="A2" t="s">
        <v>7</v>
      </c>
      <c r="B2" s="6">
        <v>0.12</v>
      </c>
      <c r="C2" s="31" t="s">
        <v>4</v>
      </c>
    </row>
    <row r="4" spans="1:4" x14ac:dyDescent="0.25">
      <c r="A4" s="5" t="s">
        <v>10</v>
      </c>
      <c r="B4" s="4">
        <f>SUMIFS(B2:B3,C2:C3,"Y")</f>
        <v>0.12</v>
      </c>
    </row>
    <row r="6" spans="1:4" x14ac:dyDescent="0.25">
      <c r="C6" s="3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constructions</vt:lpstr>
      <vt:lpstr>time saving</vt:lpstr>
      <vt:lpstr>cost saving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</dc:creator>
  <cp:lastModifiedBy>Giorgio Vitale</cp:lastModifiedBy>
  <dcterms:created xsi:type="dcterms:W3CDTF">2015-06-05T18:17:20Z</dcterms:created>
  <dcterms:modified xsi:type="dcterms:W3CDTF">2025-11-28T17:39:42Z</dcterms:modified>
</cp:coreProperties>
</file>