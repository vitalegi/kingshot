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\projects\kingshot\public\static\"/>
    </mc:Choice>
  </mc:AlternateContent>
  <xr:revisionPtr revIDLastSave="0" documentId="13_ncr:1_{C5A3F025-0EF6-41EA-B6DF-6AFD4103239B}" xr6:coauthVersionLast="47" xr6:coauthVersionMax="47" xr10:uidLastSave="{00000000-0000-0000-0000-000000000000}"/>
  <bookViews>
    <workbookView xWindow="-120" yWindow="-120" windowWidth="38640" windowHeight="21120" xr2:uid="{AC003106-45C8-4994-96DF-BC2C4233A2EB}"/>
  </bookViews>
  <sheets>
    <sheet name="calc" sheetId="1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F17" i="3"/>
  <c r="F18" i="3"/>
  <c r="AC24" i="1"/>
  <c r="AE24" i="1" s="1"/>
  <c r="AD24" i="1"/>
  <c r="AF24" i="1" s="1"/>
  <c r="AC25" i="1"/>
  <c r="AD25" i="1" s="1"/>
  <c r="AC26" i="1"/>
  <c r="AD26" i="1"/>
  <c r="AE26" i="1"/>
  <c r="AF26" i="1" s="1"/>
  <c r="AC27" i="1"/>
  <c r="AE27" i="1" s="1"/>
  <c r="AD27" i="1"/>
  <c r="AF27" i="1" s="1"/>
  <c r="AC28" i="1"/>
  <c r="AD28" i="1"/>
  <c r="AE28" i="1" s="1"/>
  <c r="AF28" i="1" s="1"/>
  <c r="AC29" i="1"/>
  <c r="AD29" i="1"/>
  <c r="AE29" i="1"/>
  <c r="AF29" i="1" s="1"/>
  <c r="AC30" i="1"/>
  <c r="AE30" i="1" s="1"/>
  <c r="AD30" i="1"/>
  <c r="AC31" i="1"/>
  <c r="AE31" i="1" s="1"/>
  <c r="AD31" i="1"/>
  <c r="AC32" i="1"/>
  <c r="AD32" i="1"/>
  <c r="AE32" i="1"/>
  <c r="AC33" i="1"/>
  <c r="AE33" i="1" s="1"/>
  <c r="AD33" i="1"/>
  <c r="AF33" i="1" s="1"/>
  <c r="AC34" i="1"/>
  <c r="AE34" i="1" s="1"/>
  <c r="AD34" i="1"/>
  <c r="AC35" i="1"/>
  <c r="AD35" i="1"/>
  <c r="AF35" i="1" s="1"/>
  <c r="AE35" i="1"/>
  <c r="AC36" i="1"/>
  <c r="AE36" i="1" s="1"/>
  <c r="AD36" i="1"/>
  <c r="AC37" i="1"/>
  <c r="AE37" i="1" s="1"/>
  <c r="AD37" i="1"/>
  <c r="AC38" i="1"/>
  <c r="AD38" i="1"/>
  <c r="AF38" i="1" s="1"/>
  <c r="AE38" i="1"/>
  <c r="AC39" i="1"/>
  <c r="AE39" i="1" s="1"/>
  <c r="AD39" i="1"/>
  <c r="AC40" i="1"/>
  <c r="AE40" i="1" s="1"/>
  <c r="AD40" i="1"/>
  <c r="AF40" i="1" s="1"/>
  <c r="AC41" i="1"/>
  <c r="AD41" i="1"/>
  <c r="AF41" i="1" s="1"/>
  <c r="AE41" i="1"/>
  <c r="AC42" i="1"/>
  <c r="AE42" i="1" s="1"/>
  <c r="AD42" i="1"/>
  <c r="AC43" i="1"/>
  <c r="AE43" i="1" s="1"/>
  <c r="AD43" i="1"/>
  <c r="AC44" i="1"/>
  <c r="AD44" i="1"/>
  <c r="AF44" i="1" s="1"/>
  <c r="AE44" i="1"/>
  <c r="AC45" i="1"/>
  <c r="AE45" i="1" s="1"/>
  <c r="AD45" i="1"/>
  <c r="AF45" i="1" s="1"/>
  <c r="AC46" i="1"/>
  <c r="AE46" i="1" s="1"/>
  <c r="AD46" i="1"/>
  <c r="AF46" i="1" s="1"/>
  <c r="AC47" i="1"/>
  <c r="AF47" i="1" s="1"/>
  <c r="AD47" i="1"/>
  <c r="AE47" i="1"/>
  <c r="AC48" i="1"/>
  <c r="AE48" i="1" s="1"/>
  <c r="AD48" i="1"/>
  <c r="AC49" i="1"/>
  <c r="AE49" i="1" s="1"/>
  <c r="AD49" i="1"/>
  <c r="AF49" i="1" s="1"/>
  <c r="AC50" i="1"/>
  <c r="AD50" i="1"/>
  <c r="AF50" i="1" s="1"/>
  <c r="AE50" i="1"/>
  <c r="AC51" i="1"/>
  <c r="AE51" i="1" s="1"/>
  <c r="AD51" i="1"/>
  <c r="AF51" i="1" s="1"/>
  <c r="AC52" i="1"/>
  <c r="AE52" i="1" s="1"/>
  <c r="AD52" i="1"/>
  <c r="AF52" i="1" s="1"/>
  <c r="AC53" i="1"/>
  <c r="AD53" i="1"/>
  <c r="AF53" i="1" s="1"/>
  <c r="AE53" i="1"/>
  <c r="AC54" i="1"/>
  <c r="AE54" i="1" s="1"/>
  <c r="AD54" i="1"/>
  <c r="AC55" i="1"/>
  <c r="AE55" i="1" s="1"/>
  <c r="AD55" i="1"/>
  <c r="AC56" i="1"/>
  <c r="Y56" i="1" s="1"/>
  <c r="AD56" i="1"/>
  <c r="AF56" i="1" s="1"/>
  <c r="AE56" i="1"/>
  <c r="AC57" i="1"/>
  <c r="AE57" i="1" s="1"/>
  <c r="AD57" i="1"/>
  <c r="AC58" i="1"/>
  <c r="AE58" i="1" s="1"/>
  <c r="AD58" i="1"/>
  <c r="AF58" i="1" s="1"/>
  <c r="AC59" i="1"/>
  <c r="AD59" i="1"/>
  <c r="AF59" i="1" s="1"/>
  <c r="AE59" i="1"/>
  <c r="AC60" i="1"/>
  <c r="AE60" i="1" s="1"/>
  <c r="AD60" i="1"/>
  <c r="AC61" i="1"/>
  <c r="AE61" i="1" s="1"/>
  <c r="AD61" i="1"/>
  <c r="AC62" i="1"/>
  <c r="AD62" i="1"/>
  <c r="AF62" i="1" s="1"/>
  <c r="AE62" i="1"/>
  <c r="Y62" i="1" s="1"/>
  <c r="AC63" i="1"/>
  <c r="AE63" i="1" s="1"/>
  <c r="AD63" i="1"/>
  <c r="AC64" i="1"/>
  <c r="AE64" i="1" s="1"/>
  <c r="AD64" i="1"/>
  <c r="AC65" i="1"/>
  <c r="Y65" i="1" s="1"/>
  <c r="AD65" i="1"/>
  <c r="AF65" i="1" s="1"/>
  <c r="AE65" i="1"/>
  <c r="AC66" i="1"/>
  <c r="AE66" i="1" s="1"/>
  <c r="AD66" i="1"/>
  <c r="AC67" i="1"/>
  <c r="AE67" i="1" s="1"/>
  <c r="AD67" i="1"/>
  <c r="AC68" i="1"/>
  <c r="Y68" i="1" s="1"/>
  <c r="AD68" i="1"/>
  <c r="AF68" i="1" s="1"/>
  <c r="AE68" i="1"/>
  <c r="AC69" i="1"/>
  <c r="AE69" i="1" s="1"/>
  <c r="AD69" i="1"/>
  <c r="AC70" i="1"/>
  <c r="AE70" i="1" s="1"/>
  <c r="AD70" i="1"/>
  <c r="E33" i="3"/>
  <c r="D33" i="3"/>
  <c r="C33" i="3"/>
  <c r="B33" i="3"/>
  <c r="G32" i="3"/>
  <c r="H32" i="3" s="1"/>
  <c r="G31" i="3"/>
  <c r="H31" i="3" s="1"/>
  <c r="G30" i="3"/>
  <c r="H30" i="3" s="1"/>
  <c r="E26" i="3"/>
  <c r="D26" i="3"/>
  <c r="C26" i="3"/>
  <c r="B26" i="3"/>
  <c r="F25" i="3"/>
  <c r="G25" i="3" s="1"/>
  <c r="H25" i="3" s="1"/>
  <c r="F24" i="3"/>
  <c r="G18" i="3" s="1"/>
  <c r="H18" i="3" s="1"/>
  <c r="F23" i="3"/>
  <c r="G23" i="3" s="1"/>
  <c r="H23" i="3" s="1"/>
  <c r="G19" i="3"/>
  <c r="H19" i="3" s="1"/>
  <c r="E19" i="3"/>
  <c r="F20" i="1" s="1"/>
  <c r="D19" i="3"/>
  <c r="E20" i="1" s="1"/>
  <c r="C19" i="3"/>
  <c r="D20" i="1" s="1"/>
  <c r="B19" i="3"/>
  <c r="C20" i="1" s="1"/>
  <c r="G17" i="3"/>
  <c r="H17" i="3" s="1"/>
  <c r="E18" i="1"/>
  <c r="E12" i="3"/>
  <c r="F13" i="1" s="1"/>
  <c r="D12" i="3"/>
  <c r="E13" i="1" s="1"/>
  <c r="C12" i="3"/>
  <c r="D13" i="1" s="1"/>
  <c r="B12" i="3"/>
  <c r="C13" i="1" s="1"/>
  <c r="F11" i="3"/>
  <c r="G11" i="3" s="1"/>
  <c r="H11" i="3" s="1"/>
  <c r="F10" i="3"/>
  <c r="G10" i="3" s="1"/>
  <c r="H10" i="3" s="1"/>
  <c r="F9" i="3"/>
  <c r="F6" i="3"/>
  <c r="G6" i="3" s="1"/>
  <c r="E6" i="3"/>
  <c r="F12" i="1" s="1"/>
  <c r="D6" i="3"/>
  <c r="E12" i="1" s="1"/>
  <c r="C6" i="3"/>
  <c r="B6" i="3"/>
  <c r="C12" i="1" s="1"/>
  <c r="F5" i="3"/>
  <c r="G5" i="3" s="1"/>
  <c r="H5" i="3" s="1"/>
  <c r="F4" i="3"/>
  <c r="G4" i="3" s="1"/>
  <c r="H4" i="3" s="1"/>
  <c r="F3" i="3"/>
  <c r="G3" i="3" s="1"/>
  <c r="H3" i="3" s="1"/>
  <c r="R72" i="1"/>
  <c r="C36" i="1" s="1"/>
  <c r="W53" i="1"/>
  <c r="X53" i="1" s="1"/>
  <c r="W52" i="1"/>
  <c r="X52" i="1" s="1"/>
  <c r="W51" i="1"/>
  <c r="W50" i="1"/>
  <c r="W49" i="1"/>
  <c r="V72" i="1"/>
  <c r="G36" i="1" s="1"/>
  <c r="G41" i="1" s="1"/>
  <c r="U72" i="1"/>
  <c r="F36" i="1" s="1"/>
  <c r="T72" i="1"/>
  <c r="E36" i="1" s="1"/>
  <c r="S72" i="1"/>
  <c r="D36" i="1" s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1" i="1"/>
  <c r="W43" i="1"/>
  <c r="X43" i="1" s="1"/>
  <c r="W42" i="1"/>
  <c r="X42" i="1" s="1"/>
  <c r="W41" i="1"/>
  <c r="X41" i="1" s="1"/>
  <c r="W40" i="1"/>
  <c r="X40" i="1" s="1"/>
  <c r="W39" i="1"/>
  <c r="X39" i="1" s="1"/>
  <c r="W38" i="1"/>
  <c r="X38" i="1" s="1"/>
  <c r="W37" i="1"/>
  <c r="X37" i="1" s="1"/>
  <c r="W36" i="1"/>
  <c r="X36" i="1" s="1"/>
  <c r="W35" i="1"/>
  <c r="X35" i="1" s="1"/>
  <c r="W34" i="1"/>
  <c r="X34" i="1" s="1"/>
  <c r="W33" i="1"/>
  <c r="X33" i="1" s="1"/>
  <c r="W32" i="1"/>
  <c r="X32" i="1" s="1"/>
  <c r="W31" i="1"/>
  <c r="X31" i="1" s="1"/>
  <c r="W30" i="1"/>
  <c r="X30" i="1" s="1"/>
  <c r="W29" i="1"/>
  <c r="X29" i="1" s="1"/>
  <c r="W48" i="1"/>
  <c r="X48" i="1" s="1"/>
  <c r="W47" i="1"/>
  <c r="X47" i="1" s="1"/>
  <c r="W46" i="1"/>
  <c r="X46" i="1" s="1"/>
  <c r="W45" i="1"/>
  <c r="X45" i="1" s="1"/>
  <c r="W44" i="1"/>
  <c r="X44" i="1" s="1"/>
  <c r="W28" i="1"/>
  <c r="X28" i="1" s="1"/>
  <c r="W27" i="1"/>
  <c r="X27" i="1" s="1"/>
  <c r="W26" i="1"/>
  <c r="X26" i="1" s="1"/>
  <c r="G35" i="1"/>
  <c r="G33" i="1"/>
  <c r="X50" i="1"/>
  <c r="X49" i="1"/>
  <c r="D10" i="1"/>
  <c r="D35" i="1" s="1"/>
  <c r="K33" i="1"/>
  <c r="J33" i="1"/>
  <c r="J40" i="1" s="1"/>
  <c r="I33" i="1"/>
  <c r="I40" i="1" s="1"/>
  <c r="F33" i="1"/>
  <c r="E33" i="1"/>
  <c r="D33" i="1"/>
  <c r="C33" i="1"/>
  <c r="F19" i="1"/>
  <c r="E19" i="1"/>
  <c r="D19" i="1"/>
  <c r="C19" i="1"/>
  <c r="D18" i="1"/>
  <c r="C18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D12" i="1"/>
  <c r="Q14" i="1"/>
  <c r="G5" i="1" s="1"/>
  <c r="F10" i="1"/>
  <c r="F35" i="1" s="1"/>
  <c r="E10" i="1"/>
  <c r="E35" i="1" s="1"/>
  <c r="C10" i="1"/>
  <c r="C35" i="1" s="1"/>
  <c r="F6" i="1"/>
  <c r="F34" i="1" s="1"/>
  <c r="E6" i="1"/>
  <c r="E34" i="1" s="1"/>
  <c r="D6" i="1"/>
  <c r="D34" i="1" s="1"/>
  <c r="C6" i="1"/>
  <c r="C34" i="1" s="1"/>
  <c r="H33" i="1"/>
  <c r="H40" i="1" s="1"/>
  <c r="W25" i="1"/>
  <c r="X25" i="1" s="1"/>
  <c r="W24" i="1"/>
  <c r="X24" i="1" s="1"/>
  <c r="W23" i="1"/>
  <c r="X23" i="1" s="1"/>
  <c r="X72" i="1" s="1"/>
  <c r="B20" i="3" l="1"/>
  <c r="C20" i="3"/>
  <c r="E20" i="3"/>
  <c r="AF39" i="1"/>
  <c r="AF34" i="1"/>
  <c r="Y59" i="1"/>
  <c r="AF48" i="1"/>
  <c r="AF43" i="1"/>
  <c r="Y32" i="1"/>
  <c r="Y54" i="1"/>
  <c r="Y63" i="1"/>
  <c r="Y58" i="1"/>
  <c r="Y53" i="1"/>
  <c r="AF42" i="1"/>
  <c r="AF37" i="1"/>
  <c r="Y52" i="1"/>
  <c r="AF36" i="1"/>
  <c r="AF31" i="1"/>
  <c r="Y57" i="1"/>
  <c r="AF61" i="1"/>
  <c r="Y61" i="1" s="1"/>
  <c r="Y51" i="1"/>
  <c r="AF30" i="1"/>
  <c r="AF32" i="1"/>
  <c r="AF70" i="1"/>
  <c r="Y70" i="1" s="1"/>
  <c r="AF67" i="1"/>
  <c r="Y67" i="1" s="1"/>
  <c r="AF64" i="1"/>
  <c r="Y64" i="1" s="1"/>
  <c r="AF55" i="1"/>
  <c r="Y55" i="1" s="1"/>
  <c r="AE25" i="1"/>
  <c r="AF25" i="1" s="1"/>
  <c r="AF69" i="1"/>
  <c r="Y69" i="1" s="1"/>
  <c r="AF66" i="1"/>
  <c r="Y66" i="1" s="1"/>
  <c r="AF63" i="1"/>
  <c r="AF60" i="1"/>
  <c r="Y60" i="1" s="1"/>
  <c r="AF57" i="1"/>
  <c r="AF54" i="1"/>
  <c r="W72" i="1"/>
  <c r="G24" i="3"/>
  <c r="H24" i="3" s="1"/>
  <c r="D20" i="3"/>
  <c r="F12" i="3"/>
  <c r="G9" i="3"/>
  <c r="I36" i="1"/>
  <c r="G40" i="1"/>
  <c r="G42" i="1" s="1"/>
  <c r="K12" i="1"/>
  <c r="J19" i="1"/>
  <c r="J20" i="1"/>
  <c r="E14" i="1"/>
  <c r="E38" i="1" s="1"/>
  <c r="C14" i="1"/>
  <c r="C38" i="1" s="1"/>
  <c r="F18" i="1"/>
  <c r="F27" i="1" s="1"/>
  <c r="F37" i="1" s="1"/>
  <c r="D14" i="1"/>
  <c r="D38" i="1" s="1"/>
  <c r="J21" i="1"/>
  <c r="J26" i="1"/>
  <c r="J24" i="1"/>
  <c r="J25" i="1"/>
  <c r="F14" i="1"/>
  <c r="F38" i="1" s="1"/>
  <c r="E27" i="1"/>
  <c r="E37" i="1" s="1"/>
  <c r="D27" i="1"/>
  <c r="D37" i="1" s="1"/>
  <c r="C27" i="1"/>
  <c r="C37" i="1" s="1"/>
  <c r="C40" i="1"/>
  <c r="D40" i="1"/>
  <c r="F40" i="1"/>
  <c r="J18" i="1"/>
  <c r="E40" i="1"/>
  <c r="AC23" i="1"/>
  <c r="J23" i="1"/>
  <c r="J22" i="1" l="1"/>
  <c r="G12" i="3"/>
  <c r="H9" i="3"/>
  <c r="Y41" i="1"/>
  <c r="AC72" i="1"/>
  <c r="AD72" i="1" s="1"/>
  <c r="AE72" i="1" s="1"/>
  <c r="E41" i="1"/>
  <c r="E42" i="1" s="1"/>
  <c r="C41" i="1"/>
  <c r="C42" i="1" s="1"/>
  <c r="I41" i="1"/>
  <c r="Y50" i="1"/>
  <c r="F41" i="1"/>
  <c r="F42" i="1" s="1"/>
  <c r="Y36" i="1"/>
  <c r="Y39" i="1"/>
  <c r="Y43" i="1"/>
  <c r="Y35" i="1"/>
  <c r="Y26" i="1"/>
  <c r="D41" i="1"/>
  <c r="D42" i="1" s="1"/>
  <c r="Y24" i="1"/>
  <c r="J27" i="1"/>
  <c r="J37" i="1" s="1"/>
  <c r="J41" i="1" s="1"/>
  <c r="AD23" i="1"/>
  <c r="K13" i="1"/>
  <c r="K14" i="1" s="1"/>
  <c r="K38" i="1" s="1"/>
  <c r="K41" i="1" s="1"/>
  <c r="I43" i="1" l="1" a="1"/>
  <c r="I43" i="1" s="1"/>
  <c r="E13" i="3"/>
  <c r="D13" i="3"/>
  <c r="C13" i="3"/>
  <c r="B13" i="3"/>
  <c r="F13" i="3"/>
  <c r="G13" i="3"/>
  <c r="Y30" i="1"/>
  <c r="Y40" i="1"/>
  <c r="Y45" i="1"/>
  <c r="Y28" i="1"/>
  <c r="Y48" i="1"/>
  <c r="AF72" i="1"/>
  <c r="Y72" i="1" s="1"/>
  <c r="Y38" i="1"/>
  <c r="Y42" i="1"/>
  <c r="Y47" i="1"/>
  <c r="Y44" i="1"/>
  <c r="Y31" i="1"/>
  <c r="Y27" i="1"/>
  <c r="Y29" i="1"/>
  <c r="I42" i="1" a="1"/>
  <c r="I42" i="1" s="1"/>
  <c r="Y25" i="1"/>
  <c r="AE23" i="1"/>
  <c r="AF23" i="1" s="1"/>
  <c r="Y37" i="1" l="1"/>
  <c r="Y33" i="1"/>
  <c r="Y34" i="1"/>
  <c r="Y46" i="1"/>
  <c r="Y49" i="1"/>
  <c r="Y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<sst xmlns="http://schemas.openxmlformats.org/spreadsheetml/2006/main" count="206" uniqueCount="106">
  <si>
    <t>Bread</t>
  </si>
  <si>
    <t>Wood</t>
  </si>
  <si>
    <t>Stone</t>
  </si>
  <si>
    <t>Iron</t>
  </si>
  <si>
    <t>Time (min)</t>
  </si>
  <si>
    <t>Real time (min)</t>
  </si>
  <si>
    <t>d</t>
  </si>
  <si>
    <t>h</t>
  </si>
  <si>
    <t>m</t>
  </si>
  <si>
    <t>s</t>
  </si>
  <si>
    <t>Construction Speed</t>
  </si>
  <si>
    <t>Barracks 30</t>
  </si>
  <si>
    <t>y</t>
  </si>
  <si>
    <t>Range 30</t>
  </si>
  <si>
    <t>Stable 30</t>
  </si>
  <si>
    <t>Formation</t>
  </si>
  <si>
    <t>Infantry</t>
  </si>
  <si>
    <t>Cavalry</t>
  </si>
  <si>
    <t>Speedups (min)</t>
  </si>
  <si>
    <t>Archers</t>
  </si>
  <si>
    <t>General</t>
  </si>
  <si>
    <t>Construction</t>
  </si>
  <si>
    <t>Train</t>
  </si>
  <si>
    <t>Healing</t>
  </si>
  <si>
    <t>I have</t>
  </si>
  <si>
    <t>Gathering</t>
  </si>
  <si>
    <t>I gather</t>
  </si>
  <si>
    <t>Gathering output</t>
  </si>
  <si>
    <t>Production output (from overview)</t>
  </si>
  <si>
    <t>gathering days</t>
  </si>
  <si>
    <t>Output days</t>
  </si>
  <si>
    <t>gathering marches</t>
  </si>
  <si>
    <t>trips per march</t>
  </si>
  <si>
    <t>gathering trips total</t>
  </si>
  <si>
    <t>To heal T10 troops</t>
  </si>
  <si>
    <t>Healing Speed</t>
  </si>
  <si>
    <t>To heal T9 troops</t>
  </si>
  <si>
    <t>1 T10</t>
  </si>
  <si>
    <t>Original Time (min)</t>
  </si>
  <si>
    <t>Time</t>
  </si>
  <si>
    <t>Healing cost</t>
  </si>
  <si>
    <t>infantry</t>
  </si>
  <si>
    <t>cavalry</t>
  </si>
  <si>
    <t>archers</t>
  </si>
  <si>
    <t>formation</t>
  </si>
  <si>
    <t>Train T10 infantry</t>
  </si>
  <si>
    <t>Train T10 cavalry</t>
  </si>
  <si>
    <t>1 T9</t>
  </si>
  <si>
    <t>Train T10 archers</t>
  </si>
  <si>
    <t>Train T9 infantry</t>
  </si>
  <si>
    <t>Train T9 cavalry</t>
  </si>
  <si>
    <t>Train T9 archers</t>
  </si>
  <si>
    <t>with formation</t>
  </si>
  <si>
    <t>Promote T9-&gt;T10 infantry</t>
  </si>
  <si>
    <t>Promote T9-&gt;T10 cavalry</t>
  </si>
  <si>
    <t>Promote T9-&gt;T10 archers</t>
  </si>
  <si>
    <t>Training</t>
  </si>
  <si>
    <t>Total</t>
  </si>
  <si>
    <t>Training Speed</t>
  </si>
  <si>
    <t>Summary</t>
  </si>
  <si>
    <t>I farm</t>
  </si>
  <si>
    <t>Building costs</t>
  </si>
  <si>
    <t>Training/Promoting costs</t>
  </si>
  <si>
    <t>Healing costs</t>
  </si>
  <si>
    <t>Total IN (M)</t>
  </si>
  <si>
    <t>Promotion</t>
  </si>
  <si>
    <t>Total OUT (M)</t>
  </si>
  <si>
    <t>1 T9 -&gt; T10</t>
  </si>
  <si>
    <t>Balance</t>
  </si>
  <si>
    <t>Town Center 30-1</t>
  </si>
  <si>
    <t>Town Center 30-2</t>
  </si>
  <si>
    <t>Town Center 30-3</t>
  </si>
  <si>
    <t>Town Center 30-4</t>
  </si>
  <si>
    <t>Town Center TG1</t>
  </si>
  <si>
    <t>Town Center TG1-1</t>
  </si>
  <si>
    <t>Town Center TG1-2</t>
  </si>
  <si>
    <t>Town Center TG1-3</t>
  </si>
  <si>
    <t>Town Center TG1-4</t>
  </si>
  <si>
    <t>True Gold</t>
  </si>
  <si>
    <t>Town Center TG2</t>
  </si>
  <si>
    <t>with healing</t>
  </si>
  <si>
    <t>without healing</t>
  </si>
  <si>
    <t>Embassy 30, Academy 30</t>
  </si>
  <si>
    <t>Requirements</t>
  </si>
  <si>
    <t>Embassy TG 1, Stable TG 1</t>
  </si>
  <si>
    <t>Embassy 30</t>
  </si>
  <si>
    <t>Academy 30</t>
  </si>
  <si>
    <t>Town Center 30</t>
  </si>
  <si>
    <t>Embassy 29, Range 29</t>
  </si>
  <si>
    <t>Embassy 30-1</t>
  </si>
  <si>
    <t>Embassy 30-2</t>
  </si>
  <si>
    <t>Embassy 30-3</t>
  </si>
  <si>
    <t>Embassy 30-4</t>
  </si>
  <si>
    <t>Embassy TG1</t>
  </si>
  <si>
    <t>Stable 30-1</t>
  </si>
  <si>
    <t>Stable 30-2</t>
  </si>
  <si>
    <t>Stable 30-3</t>
  </si>
  <si>
    <t>Stable 30-4</t>
  </si>
  <si>
    <t>Stable TG1</t>
  </si>
  <si>
    <t>Embassy TG1-1</t>
  </si>
  <si>
    <t>Embassy TG1-2</t>
  </si>
  <si>
    <t>Embassy TG1-3</t>
  </si>
  <si>
    <t>Embassy TG1-4</t>
  </si>
  <si>
    <t>Embassy TG2</t>
  </si>
  <si>
    <t>Include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</si>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</sst>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,,\ &quot;M&quot;\ "/>
    <numFmt numFmtId="165" formatCode="_-* #,##0_-;\-* #,##0_-;_-* &quot;-&quot;??_-;_-@_-"/>
    <numFmt numFmtId="166" formatCode="_-* #,##0.00\ _€_-;\-* #,##0.00\ _€_-;_-* &quot;-&quot;??\ _€_-;_-@_-"/>
    <numFmt numFmtId="167" formatCode="_-* #,##0\ _€_-;\-* #,##0\ _€_-;_-* &quot;-&quot;??\ _€_-;_-@_-"/>
    <numFmt numFmtId="168" formatCode="0.000"/>
    <numFmt numFmtId="169" formatCode="[$-F400]h:mm:ss\ AM/PM"/>
    <numFmt numFmtId="170" formatCode="_-* #,##0.0_-;\-* #,##0.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10" fontId="0" fillId="2" borderId="0" xfId="0" applyNumberFormat="1" applyFill="1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7" fontId="0" fillId="0" borderId="0" xfId="0" applyNumberFormat="1"/>
    <xf numFmtId="9" fontId="0" fillId="2" borderId="0" xfId="0" applyNumberFormat="1" applyFill="1"/>
    <xf numFmtId="165" fontId="0" fillId="0" borderId="0" xfId="0" applyNumberFormat="1"/>
    <xf numFmtId="0" fontId="3" fillId="0" borderId="0" xfId="0" applyFont="1" applyAlignment="1">
      <alignment horizontal="center"/>
    </xf>
    <xf numFmtId="164" fontId="0" fillId="2" borderId="0" xfId="0" applyNumberFormat="1" applyFill="1"/>
    <xf numFmtId="165" fontId="0" fillId="2" borderId="0" xfId="1" applyNumberFormat="1" applyFont="1" applyFill="1"/>
    <xf numFmtId="0" fontId="5" fillId="0" borderId="0" xfId="0" applyFont="1"/>
    <xf numFmtId="165" fontId="4" fillId="2" borderId="0" xfId="1" applyNumberFormat="1" applyFont="1" applyFill="1"/>
    <xf numFmtId="165" fontId="4" fillId="0" borderId="0" xfId="1" applyNumberFormat="1" applyFont="1"/>
    <xf numFmtId="43" fontId="0" fillId="0" borderId="0" xfId="1" applyFont="1"/>
    <xf numFmtId="168" fontId="0" fillId="0" borderId="0" xfId="0" applyNumberFormat="1"/>
    <xf numFmtId="169" fontId="0" fillId="0" borderId="0" xfId="0" applyNumberFormat="1"/>
    <xf numFmtId="165" fontId="0" fillId="0" borderId="0" xfId="1" applyNumberFormat="1" applyFont="1" applyFill="1"/>
    <xf numFmtId="43" fontId="0" fillId="0" borderId="0" xfId="0" applyNumberFormat="1"/>
    <xf numFmtId="2" fontId="0" fillId="0" borderId="0" xfId="0" applyNumberFormat="1"/>
    <xf numFmtId="43" fontId="0" fillId="0" borderId="0" xfId="1" applyFont="1" applyFill="1"/>
    <xf numFmtId="2" fontId="0" fillId="0" borderId="0" xfId="1" applyNumberFormat="1" applyFont="1" applyFill="1"/>
    <xf numFmtId="165" fontId="0" fillId="3" borderId="0" xfId="1" applyNumberFormat="1" applyFont="1" applyFill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170" fontId="0" fillId="0" borderId="0" xfId="1" applyNumberFormat="1" applyFont="1"/>
    <xf numFmtId="165" fontId="2" fillId="0" borderId="0" xfId="1" applyNumberFormat="1" applyFont="1"/>
    <xf numFmtId="0" fontId="6" fillId="0" borderId="0" xfId="0" applyFont="1"/>
    <xf numFmtId="166" fontId="0" fillId="0" borderId="0" xfId="0" applyNumberForma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51BE-DDC7-4E95-8673-A090A0996D1F}">
  <dimension ref="A1:AF72"/>
  <sheetViews>
    <sheetView tabSelected="1" workbookViewId="0">
      <selection activeCell="G20" sqref="G20"/>
    </sheetView>
  </sheetViews>
  <sheetFormatPr defaultRowHeight="15" x14ac:dyDescent="0.25"/>
  <cols>
    <col min="1" max="1" width="23.140625" bestFit="1" customWidth="1"/>
    <col min="2" max="2" width="31.5703125" bestFit="1" customWidth="1"/>
    <col min="3" max="3" width="11.5703125" bestFit="1" customWidth="1"/>
    <col min="4" max="4" width="12.5703125" bestFit="1" customWidth="1"/>
    <col min="5" max="5" width="11.5703125" bestFit="1" customWidth="1"/>
    <col min="6" max="6" width="10.5703125" bestFit="1" customWidth="1"/>
    <col min="7" max="7" width="10.140625" bestFit="1" customWidth="1"/>
    <col min="8" max="8" width="15.7109375" bestFit="1" customWidth="1"/>
    <col min="9" max="9" width="12.5703125" bestFit="1" customWidth="1"/>
    <col min="10" max="10" width="8" bestFit="1" customWidth="1"/>
    <col min="11" max="11" width="8.28515625" bestFit="1" customWidth="1"/>
    <col min="12" max="15" width="3.28515625" customWidth="1"/>
    <col min="16" max="16" width="18.42578125" bestFit="1" customWidth="1"/>
    <col min="17" max="17" width="11.5703125" bestFit="1" customWidth="1"/>
    <col min="18" max="18" width="14.28515625" bestFit="1" customWidth="1"/>
    <col min="19" max="19" width="12.5703125" bestFit="1" customWidth="1"/>
    <col min="20" max="20" width="11.5703125" bestFit="1" customWidth="1"/>
    <col min="21" max="21" width="18.42578125" bestFit="1" customWidth="1"/>
    <col min="22" max="22" width="10.5703125" bestFit="1" customWidth="1"/>
    <col min="23" max="23" width="10.7109375" bestFit="1" customWidth="1"/>
    <col min="24" max="24" width="15.28515625" bestFit="1" customWidth="1"/>
    <col min="25" max="25" width="14.42578125" bestFit="1" customWidth="1"/>
    <col min="26" max="26" width="24" bestFit="1" customWidth="1"/>
    <col min="27" max="27" width="13.42578125" customWidth="1"/>
    <col min="29" max="31" width="3" bestFit="1" customWidth="1"/>
    <col min="32" max="33" width="6.5703125" bestFit="1" customWidth="1"/>
  </cols>
  <sheetData>
    <row r="1" spans="1:18" x14ac:dyDescent="0.25">
      <c r="C1" s="8"/>
      <c r="D1" s="8"/>
      <c r="E1" s="8"/>
      <c r="F1" s="8"/>
      <c r="G1" s="8"/>
      <c r="H1" s="1" t="s">
        <v>18</v>
      </c>
      <c r="I1" s="1"/>
      <c r="J1" s="1"/>
      <c r="K1" s="1"/>
      <c r="L1" s="1"/>
      <c r="M1" s="1"/>
      <c r="N1" s="1"/>
      <c r="P1" s="1" t="s">
        <v>15</v>
      </c>
      <c r="Q1" t="s">
        <v>16</v>
      </c>
      <c r="R1" s="7">
        <v>0.5</v>
      </c>
    </row>
    <row r="2" spans="1:18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78</v>
      </c>
      <c r="H2" s="1" t="s">
        <v>20</v>
      </c>
      <c r="I2" s="1" t="s">
        <v>21</v>
      </c>
      <c r="J2" s="1" t="s">
        <v>22</v>
      </c>
      <c r="K2" s="1" t="s">
        <v>23</v>
      </c>
      <c r="L2" s="6"/>
      <c r="M2" s="6"/>
      <c r="N2" s="6"/>
      <c r="Q2" t="s">
        <v>17</v>
      </c>
      <c r="R2" s="7">
        <v>0.2</v>
      </c>
    </row>
    <row r="3" spans="1:18" x14ac:dyDescent="0.25">
      <c r="B3" s="1" t="s">
        <v>24</v>
      </c>
      <c r="C3" s="10">
        <v>536550000</v>
      </c>
      <c r="D3" s="10">
        <v>500000000</v>
      </c>
      <c r="E3" s="10">
        <v>127000000</v>
      </c>
      <c r="F3" s="10">
        <v>25000000</v>
      </c>
      <c r="G3" s="11">
        <v>800</v>
      </c>
      <c r="H3" s="11">
        <v>62250</v>
      </c>
      <c r="I3" s="11">
        <v>11881</v>
      </c>
      <c r="J3" s="11">
        <v>17401</v>
      </c>
      <c r="K3" s="11">
        <v>42469</v>
      </c>
      <c r="L3" s="6"/>
      <c r="M3" s="6"/>
      <c r="N3" s="6"/>
      <c r="Q3" t="s">
        <v>19</v>
      </c>
      <c r="R3" s="7">
        <v>0.3</v>
      </c>
    </row>
    <row r="4" spans="1:18" x14ac:dyDescent="0.25">
      <c r="L4" s="6"/>
      <c r="M4" s="6"/>
      <c r="N4" s="6"/>
    </row>
    <row r="5" spans="1:18" x14ac:dyDescent="0.25">
      <c r="B5" t="s">
        <v>26</v>
      </c>
      <c r="C5" s="13">
        <v>15</v>
      </c>
      <c r="D5" s="13">
        <v>15</v>
      </c>
      <c r="E5" s="13">
        <v>10</v>
      </c>
      <c r="F5" s="13">
        <v>30</v>
      </c>
      <c r="G5" t="str">
        <f>_xlfn.CONCAT(SUM(C5:F5),"/",Q14," trips")</f>
        <v>70/70 trips</v>
      </c>
      <c r="J5" s="1"/>
      <c r="P5" s="12" t="s">
        <v>25</v>
      </c>
    </row>
    <row r="6" spans="1:18" x14ac:dyDescent="0.25">
      <c r="B6" t="s">
        <v>27</v>
      </c>
      <c r="C6" s="4">
        <f>C5*Q6</f>
        <v>210000000</v>
      </c>
      <c r="D6" s="4">
        <f>D5*Q7</f>
        <v>210000000</v>
      </c>
      <c r="E6" s="4">
        <f>E5*Q8</f>
        <v>28000000</v>
      </c>
      <c r="F6" s="4">
        <f>F5*Q9</f>
        <v>21000000</v>
      </c>
      <c r="G6" s="4"/>
      <c r="H6" s="14"/>
      <c r="P6" t="s">
        <v>0</v>
      </c>
      <c r="Q6" s="5">
        <v>14000000</v>
      </c>
    </row>
    <row r="7" spans="1:18" x14ac:dyDescent="0.25">
      <c r="C7" s="8"/>
      <c r="D7" s="8"/>
      <c r="E7" s="8"/>
      <c r="F7" s="8"/>
      <c r="G7" s="8"/>
      <c r="H7" s="8"/>
      <c r="L7" s="1"/>
      <c r="M7" s="1"/>
      <c r="N7" s="1"/>
      <c r="P7" t="s">
        <v>1</v>
      </c>
      <c r="Q7" s="5">
        <v>14000000</v>
      </c>
    </row>
    <row r="8" spans="1:18" x14ac:dyDescent="0.25">
      <c r="P8" t="s">
        <v>2</v>
      </c>
      <c r="Q8" s="5">
        <v>2800000</v>
      </c>
    </row>
    <row r="9" spans="1:18" x14ac:dyDescent="0.25">
      <c r="B9" t="s">
        <v>28</v>
      </c>
      <c r="C9" s="11">
        <v>94300</v>
      </c>
      <c r="D9" s="11">
        <v>36500</v>
      </c>
      <c r="E9" s="11">
        <v>7600</v>
      </c>
      <c r="F9" s="11">
        <v>1600</v>
      </c>
      <c r="G9" s="11">
        <v>0</v>
      </c>
      <c r="P9" t="s">
        <v>3</v>
      </c>
      <c r="Q9" s="5">
        <v>700000</v>
      </c>
    </row>
    <row r="10" spans="1:18" x14ac:dyDescent="0.25">
      <c r="A10" t="s">
        <v>30</v>
      </c>
      <c r="B10" s="3">
        <v>7</v>
      </c>
      <c r="C10" s="5">
        <f>$B10*C9*140</f>
        <v>92414000</v>
      </c>
      <c r="D10" s="5">
        <f>$B10*D9*435</f>
        <v>111142500</v>
      </c>
      <c r="E10" s="5">
        <f>$B10*E9*435</f>
        <v>23142000</v>
      </c>
      <c r="F10" s="5">
        <f>$B10*F9*435</f>
        <v>4872000</v>
      </c>
      <c r="G10" s="5"/>
    </row>
    <row r="11" spans="1:18" x14ac:dyDescent="0.25">
      <c r="C11" s="4"/>
      <c r="D11" s="4"/>
      <c r="E11" s="4"/>
      <c r="F11" s="4"/>
      <c r="G11" s="4"/>
      <c r="P11" t="s">
        <v>29</v>
      </c>
      <c r="Q11" s="3">
        <v>7</v>
      </c>
    </row>
    <row r="12" spans="1:18" x14ac:dyDescent="0.25">
      <c r="A12" t="s">
        <v>34</v>
      </c>
      <c r="B12" s="13">
        <v>400000</v>
      </c>
      <c r="C12" s="4">
        <f>$B12*Data!B6</f>
        <v>96200000</v>
      </c>
      <c r="D12" s="4">
        <f>$B12*Data!C6</f>
        <v>91159999.999999985</v>
      </c>
      <c r="E12" s="4">
        <f>$B12*Data!D6</f>
        <v>18720000</v>
      </c>
      <c r="F12" s="4">
        <f>$B12*Data!E6</f>
        <v>4560000</v>
      </c>
      <c r="G12" s="4"/>
      <c r="K12" s="5">
        <f>$B12*Data!G6</f>
        <v>22634.676324128563</v>
      </c>
      <c r="P12" t="s">
        <v>31</v>
      </c>
      <c r="Q12" s="3">
        <v>5</v>
      </c>
    </row>
    <row r="13" spans="1:18" x14ac:dyDescent="0.25">
      <c r="A13" t="s">
        <v>36</v>
      </c>
      <c r="B13" s="13">
        <v>500000</v>
      </c>
      <c r="C13" s="4">
        <f>$B13*Data!B12</f>
        <v>60000000</v>
      </c>
      <c r="D13" s="4">
        <f>$B13*Data!C12</f>
        <v>57099999.999999993</v>
      </c>
      <c r="E13" s="4">
        <f>$B13*Data!D12</f>
        <v>11700000</v>
      </c>
      <c r="F13" s="4">
        <f>$B13*Data!E12</f>
        <v>2900000.0000000005</v>
      </c>
      <c r="G13" s="4"/>
      <c r="H13" s="8"/>
      <c r="K13" s="5">
        <f>$B13*Data!G12</f>
        <v>19995.078134613017</v>
      </c>
      <c r="P13" t="s">
        <v>32</v>
      </c>
      <c r="Q13" s="3">
        <v>2</v>
      </c>
    </row>
    <row r="14" spans="1:18" x14ac:dyDescent="0.25">
      <c r="B14" t="s">
        <v>40</v>
      </c>
      <c r="C14" s="4">
        <f>C12+C13</f>
        <v>156200000</v>
      </c>
      <c r="D14" s="4">
        <f t="shared" ref="D14:F14" si="0">D12+D13</f>
        <v>148259999.99999997</v>
      </c>
      <c r="E14" s="4">
        <f t="shared" si="0"/>
        <v>30420000</v>
      </c>
      <c r="F14" s="4">
        <f t="shared" si="0"/>
        <v>7460000</v>
      </c>
      <c r="G14" s="4"/>
      <c r="J14" s="8"/>
      <c r="K14" s="5">
        <f>K12+K13</f>
        <v>42629.754458741576</v>
      </c>
      <c r="P14" t="s">
        <v>33</v>
      </c>
      <c r="Q14">
        <f>Q12*Q11*Q13</f>
        <v>70</v>
      </c>
    </row>
    <row r="15" spans="1:18" x14ac:dyDescent="0.25">
      <c r="C15" s="8"/>
      <c r="D15" s="8"/>
      <c r="E15" s="8"/>
      <c r="F15" s="8"/>
      <c r="G15" s="8"/>
      <c r="H15" s="5"/>
    </row>
    <row r="16" spans="1:18" x14ac:dyDescent="0.25">
      <c r="C16" s="8"/>
      <c r="D16" s="8"/>
      <c r="E16" s="8"/>
      <c r="F16" s="8"/>
      <c r="G16" s="8"/>
      <c r="H16" s="14"/>
    </row>
    <row r="17" spans="1:32" x14ac:dyDescent="0.25">
      <c r="C17" s="8"/>
      <c r="D17" s="8"/>
      <c r="E17" s="8"/>
      <c r="F17" s="8"/>
      <c r="G17" s="8"/>
      <c r="H17" s="5"/>
    </row>
    <row r="18" spans="1:32" x14ac:dyDescent="0.25">
      <c r="A18" t="s">
        <v>45</v>
      </c>
      <c r="B18" s="13">
        <v>0</v>
      </c>
      <c r="C18" s="4">
        <f>$B18*Data!B17</f>
        <v>0</v>
      </c>
      <c r="D18" s="4">
        <f>$B18*Data!C17</f>
        <v>0</v>
      </c>
      <c r="E18" s="4">
        <f>$B18*Data!D17</f>
        <v>0</v>
      </c>
      <c r="F18" s="4">
        <f>$B18*Data!E17</f>
        <v>0</v>
      </c>
      <c r="G18" s="4"/>
      <c r="J18" s="5">
        <f>$B18*Data!G17</f>
        <v>0</v>
      </c>
      <c r="P18" t="s">
        <v>35</v>
      </c>
      <c r="Q18" s="2">
        <v>4.4180000000000001</v>
      </c>
    </row>
    <row r="19" spans="1:32" x14ac:dyDescent="0.25">
      <c r="A19" t="s">
        <v>46</v>
      </c>
      <c r="B19" s="13">
        <v>0</v>
      </c>
      <c r="C19" s="4">
        <f>$B19*Data!B18</f>
        <v>0</v>
      </c>
      <c r="D19" s="4">
        <f>$B19*Data!C18</f>
        <v>0</v>
      </c>
      <c r="E19" s="4">
        <f>$B19*Data!D18</f>
        <v>0</v>
      </c>
      <c r="F19" s="4">
        <f>$B19*Data!E18</f>
        <v>0</v>
      </c>
      <c r="G19" s="4"/>
      <c r="J19" s="5">
        <f>$B19*Data!G18</f>
        <v>0</v>
      </c>
      <c r="P19" t="s">
        <v>58</v>
      </c>
      <c r="Q19" s="2">
        <v>1.9410000000000001</v>
      </c>
    </row>
    <row r="20" spans="1:32" x14ac:dyDescent="0.25">
      <c r="A20" t="s">
        <v>48</v>
      </c>
      <c r="B20" s="13">
        <v>0</v>
      </c>
      <c r="C20" s="4">
        <f>$B20*Data!B19</f>
        <v>0</v>
      </c>
      <c r="D20" s="4">
        <f>$B20*Data!C19</f>
        <v>0</v>
      </c>
      <c r="E20" s="4">
        <f>$B20*Data!D19</f>
        <v>0</v>
      </c>
      <c r="F20" s="4">
        <f>$B20*Data!E19</f>
        <v>0</v>
      </c>
      <c r="G20" s="4"/>
      <c r="J20" s="5">
        <f>$B20*Data!G19</f>
        <v>0</v>
      </c>
      <c r="P20" t="s">
        <v>10</v>
      </c>
      <c r="Q20" s="2">
        <v>0.64200000000000002</v>
      </c>
    </row>
    <row r="21" spans="1:32" x14ac:dyDescent="0.25">
      <c r="A21" t="s">
        <v>49</v>
      </c>
      <c r="B21" s="13">
        <v>0</v>
      </c>
      <c r="C21" s="4">
        <f>$B21*Data!B23</f>
        <v>0</v>
      </c>
      <c r="D21" s="4">
        <f>$B21*Data!C23</f>
        <v>0</v>
      </c>
      <c r="E21" s="4">
        <f>$B21*Data!D23</f>
        <v>0</v>
      </c>
      <c r="F21" s="4">
        <f>$B21*Data!E23</f>
        <v>0</v>
      </c>
      <c r="G21" s="4"/>
      <c r="J21" s="5">
        <f>$B21*Data!G23</f>
        <v>0</v>
      </c>
      <c r="L21" s="5"/>
      <c r="M21" s="5"/>
      <c r="N21" s="5"/>
    </row>
    <row r="22" spans="1:32" x14ac:dyDescent="0.25">
      <c r="A22" t="s">
        <v>50</v>
      </c>
      <c r="B22" s="13">
        <v>0</v>
      </c>
      <c r="C22" s="4">
        <f>$B22*Data!B24</f>
        <v>0</v>
      </c>
      <c r="D22" s="4">
        <f>$B22*Data!C24</f>
        <v>0</v>
      </c>
      <c r="E22" s="4">
        <f>$B22*Data!D24</f>
        <v>0</v>
      </c>
      <c r="F22" s="4">
        <f>$B22*Data!E24</f>
        <v>0</v>
      </c>
      <c r="G22" s="4"/>
      <c r="J22" s="5">
        <f>$B22*Data!G24</f>
        <v>0</v>
      </c>
      <c r="L22" s="5"/>
      <c r="M22" s="5"/>
      <c r="N22" s="5"/>
      <c r="P22" s="1" t="s">
        <v>105</v>
      </c>
      <c r="Q22" s="1" t="s">
        <v>104</v>
      </c>
      <c r="R22" s="1" t="s">
        <v>0</v>
      </c>
      <c r="S22" s="1" t="s">
        <v>1</v>
      </c>
      <c r="T22" s="1" t="s">
        <v>2</v>
      </c>
      <c r="U22" s="1" t="s">
        <v>3</v>
      </c>
      <c r="V22" s="1" t="s">
        <v>78</v>
      </c>
      <c r="W22" s="1" t="s">
        <v>4</v>
      </c>
      <c r="X22" s="1" t="s">
        <v>5</v>
      </c>
      <c r="Z22" s="1" t="s">
        <v>83</v>
      </c>
      <c r="AC22" s="1" t="s">
        <v>6</v>
      </c>
      <c r="AD22" s="1" t="s">
        <v>7</v>
      </c>
      <c r="AE22" s="1" t="s">
        <v>8</v>
      </c>
      <c r="AF22" s="1" t="s">
        <v>9</v>
      </c>
    </row>
    <row r="23" spans="1:32" x14ac:dyDescent="0.25">
      <c r="A23" t="s">
        <v>51</v>
      </c>
      <c r="B23" s="13">
        <v>0</v>
      </c>
      <c r="C23" s="4">
        <f>$B23*Data!B25</f>
        <v>0</v>
      </c>
      <c r="D23" s="4">
        <f>$B23*Data!C25</f>
        <v>0</v>
      </c>
      <c r="E23" s="4">
        <f>$B23*Data!D25</f>
        <v>0</v>
      </c>
      <c r="F23" s="4">
        <f>$B23*Data!E25</f>
        <v>0</v>
      </c>
      <c r="G23" s="4"/>
      <c r="J23" s="5">
        <f>$B23*Data!G25</f>
        <v>0</v>
      </c>
      <c r="L23" s="5"/>
      <c r="M23" s="5"/>
      <c r="N23" s="5"/>
      <c r="P23" t="s">
        <v>11</v>
      </c>
      <c r="Q23" s="3" t="s">
        <v>12</v>
      </c>
      <c r="R23" s="5">
        <v>100000000</v>
      </c>
      <c r="S23" s="5">
        <v>100000000</v>
      </c>
      <c r="T23" s="5">
        <v>21000000</v>
      </c>
      <c r="U23" s="5">
        <v>5800000</v>
      </c>
      <c r="V23" s="4"/>
      <c r="W23" s="5">
        <f>6*24*60 + 40</f>
        <v>8680</v>
      </c>
      <c r="X23" s="27">
        <f t="shared" ref="X23:X70" si="1">W23/(1+Q$20)</f>
        <v>5286.2362971985385</v>
      </c>
      <c r="Y23" t="str">
        <f>_xlfn.CONCAT(AC23,"d ",AD23,"h ",AE23,"m ",AF23,"s")</f>
        <v>3d 16h 6m 0s</v>
      </c>
      <c r="AC23">
        <f>ROUNDDOWN(X23/60/24,0)</f>
        <v>3</v>
      </c>
      <c r="AD23">
        <f>ROUNDDOWN((X23-60*24*AC23)/60,0)</f>
        <v>16</v>
      </c>
      <c r="AE23">
        <f>ROUNDDOWN((X23-AC23*24*60-AD23*60),0)</f>
        <v>6</v>
      </c>
      <c r="AF23" s="6">
        <f>ROUNDDOWN((X23-AC23*24*60-AD23*60-AE23)/60,0)</f>
        <v>0</v>
      </c>
    </row>
    <row r="24" spans="1:32" x14ac:dyDescent="0.25">
      <c r="A24" t="s">
        <v>53</v>
      </c>
      <c r="B24" s="13">
        <v>90000</v>
      </c>
      <c r="C24" s="4">
        <f>$B24*Data!B30</f>
        <v>125460000</v>
      </c>
      <c r="D24" s="4">
        <f>$B24*Data!C30</f>
        <v>94050000</v>
      </c>
      <c r="E24" s="4">
        <f>$B24*Data!D30</f>
        <v>21960000</v>
      </c>
      <c r="F24" s="4">
        <f>$B24*Data!E30</f>
        <v>4590000</v>
      </c>
      <c r="G24" s="4"/>
      <c r="J24" s="5">
        <f>$B24*Data!G30</f>
        <v>10691.715402924177</v>
      </c>
      <c r="P24" t="s">
        <v>13</v>
      </c>
      <c r="Q24" s="3" t="s">
        <v>12</v>
      </c>
      <c r="R24" s="5">
        <v>100000000</v>
      </c>
      <c r="S24" s="5">
        <v>100000000</v>
      </c>
      <c r="T24" s="5">
        <v>21000000</v>
      </c>
      <c r="U24" s="5">
        <v>5800000</v>
      </c>
      <c r="V24" s="4"/>
      <c r="W24" s="5">
        <f t="shared" ref="W24:W25" si="2">6*24*60 + 40</f>
        <v>8680</v>
      </c>
      <c r="X24" s="27">
        <f t="shared" si="1"/>
        <v>5286.2362971985385</v>
      </c>
      <c r="Y24" t="str">
        <f t="shared" ref="Y24:Y25" si="3">_xlfn.CONCAT(AC24,"d ",AD24,"h ",AE24,"m ",AF24,"s")</f>
        <v>3d 16h 6m 0s</v>
      </c>
      <c r="AC24">
        <f t="shared" ref="AC24:AC70" si="4">ROUNDDOWN(X24/60/24,0)</f>
        <v>3</v>
      </c>
      <c r="AD24">
        <f t="shared" ref="AD24:AD70" si="5">ROUNDDOWN((X24-60*24*AC24)/60,0)</f>
        <v>16</v>
      </c>
      <c r="AE24">
        <f t="shared" ref="AE24:AE70" si="6">ROUNDDOWN((X24-AC24*24*60-AD24*60),0)</f>
        <v>6</v>
      </c>
      <c r="AF24" s="6">
        <f t="shared" ref="AF24:AF70" si="7">ROUNDDOWN((X24-AC24*24*60-AD24*60-AE24)/60,0)</f>
        <v>0</v>
      </c>
    </row>
    <row r="25" spans="1:32" x14ac:dyDescent="0.25">
      <c r="A25" t="s">
        <v>54</v>
      </c>
      <c r="B25" s="13">
        <v>10000</v>
      </c>
      <c r="C25" s="4">
        <f>$B25*Data!B31</f>
        <v>12200000</v>
      </c>
      <c r="D25" s="4">
        <f>$B25*Data!C31</f>
        <v>11500000</v>
      </c>
      <c r="E25" s="4">
        <f>$B25*Data!D31</f>
        <v>2370000</v>
      </c>
      <c r="F25" s="4">
        <f>$B25*Data!E31</f>
        <v>540000</v>
      </c>
      <c r="G25" s="4"/>
      <c r="J25" s="5">
        <f>$B25*Data!G31</f>
        <v>1187.9683781026863</v>
      </c>
      <c r="P25" t="s">
        <v>14</v>
      </c>
      <c r="Q25" s="3"/>
      <c r="R25" s="5">
        <v>100000000</v>
      </c>
      <c r="S25" s="5">
        <v>100000000</v>
      </c>
      <c r="T25" s="5">
        <v>21000000</v>
      </c>
      <c r="U25" s="5">
        <v>5800000</v>
      </c>
      <c r="V25" s="4"/>
      <c r="W25" s="5">
        <f t="shared" si="2"/>
        <v>8680</v>
      </c>
      <c r="X25" s="27">
        <f t="shared" si="1"/>
        <v>5286.2362971985385</v>
      </c>
      <c r="Y25" t="str">
        <f t="shared" si="3"/>
        <v>3d 16h 6m 0s</v>
      </c>
      <c r="AC25">
        <f t="shared" si="4"/>
        <v>3</v>
      </c>
      <c r="AD25">
        <f t="shared" si="5"/>
        <v>16</v>
      </c>
      <c r="AE25">
        <f t="shared" si="6"/>
        <v>6</v>
      </c>
      <c r="AF25" s="6">
        <f t="shared" si="7"/>
        <v>0</v>
      </c>
    </row>
    <row r="26" spans="1:32" x14ac:dyDescent="0.25">
      <c r="A26" t="s">
        <v>55</v>
      </c>
      <c r="B26" s="13">
        <v>90000</v>
      </c>
      <c r="C26" s="4">
        <f>$B26*Data!B32</f>
        <v>78390000</v>
      </c>
      <c r="D26" s="4">
        <f>$B26*Data!C32</f>
        <v>116010000</v>
      </c>
      <c r="E26" s="4">
        <f>$B26*Data!D32</f>
        <v>19440000</v>
      </c>
      <c r="F26" s="4">
        <f>$B26*Data!E32</f>
        <v>6300000</v>
      </c>
      <c r="G26" s="4"/>
      <c r="J26" s="5">
        <f>$B26*Data!G32</f>
        <v>10691.715402924177</v>
      </c>
      <c r="P26" t="s">
        <v>85</v>
      </c>
      <c r="Q26" s="3" t="s">
        <v>12</v>
      </c>
      <c r="R26" s="5">
        <v>60000000</v>
      </c>
      <c r="S26" s="5">
        <v>60000000</v>
      </c>
      <c r="T26" s="5">
        <v>12000000</v>
      </c>
      <c r="U26" s="5">
        <v>3000000</v>
      </c>
      <c r="V26" s="5"/>
      <c r="W26" s="5">
        <f>26*24*60+ 12*60 +32</f>
        <v>38192</v>
      </c>
      <c r="X26" s="27">
        <f t="shared" si="1"/>
        <v>23259.43970767357</v>
      </c>
      <c r="Y26" t="str">
        <f t="shared" ref="Y26:Y43" si="8">_xlfn.CONCAT(AC26,"d ",AD26,"h ",AE26,"m ",AF26,"s")</f>
        <v>16d 3h 39m 0s</v>
      </c>
      <c r="AC26">
        <f t="shared" si="4"/>
        <v>16</v>
      </c>
      <c r="AD26">
        <f t="shared" si="5"/>
        <v>3</v>
      </c>
      <c r="AE26">
        <f t="shared" si="6"/>
        <v>39</v>
      </c>
      <c r="AF26" s="6">
        <f t="shared" si="7"/>
        <v>0</v>
      </c>
    </row>
    <row r="27" spans="1:32" x14ac:dyDescent="0.25">
      <c r="B27" t="s">
        <v>57</v>
      </c>
      <c r="C27" s="4">
        <f>SUM(C18:C26)</f>
        <v>216050000</v>
      </c>
      <c r="D27" s="4">
        <f>SUM(D18:D26)</f>
        <v>221560000</v>
      </c>
      <c r="E27" s="4">
        <f>SUM(E18:E26)</f>
        <v>43770000</v>
      </c>
      <c r="F27" s="4">
        <f>SUM(F18:F26)</f>
        <v>11430000</v>
      </c>
      <c r="G27" s="4"/>
      <c r="J27" s="5">
        <f>SUM(J18:J26)</f>
        <v>22571.399183951042</v>
      </c>
      <c r="P27" t="s">
        <v>86</v>
      </c>
      <c r="Q27" s="3" t="s">
        <v>12</v>
      </c>
      <c r="R27" s="5">
        <v>120000000</v>
      </c>
      <c r="S27" s="5">
        <v>120000000</v>
      </c>
      <c r="T27" s="5">
        <v>24000000</v>
      </c>
      <c r="U27" s="5">
        <v>6000000</v>
      </c>
      <c r="V27" s="5"/>
      <c r="W27" s="5">
        <f>6*24*60+40</f>
        <v>8680</v>
      </c>
      <c r="X27" s="27">
        <f t="shared" si="1"/>
        <v>5286.2362971985385</v>
      </c>
      <c r="Y27" t="str">
        <f t="shared" si="8"/>
        <v>3d 16h 6m 0s</v>
      </c>
      <c r="AC27">
        <f t="shared" si="4"/>
        <v>3</v>
      </c>
      <c r="AD27">
        <f t="shared" si="5"/>
        <v>16</v>
      </c>
      <c r="AE27">
        <f t="shared" si="6"/>
        <v>6</v>
      </c>
      <c r="AF27" s="6">
        <f t="shared" si="7"/>
        <v>0</v>
      </c>
    </row>
    <row r="28" spans="1:32" x14ac:dyDescent="0.25">
      <c r="P28" t="s">
        <v>87</v>
      </c>
      <c r="Q28" s="3"/>
      <c r="R28" s="5">
        <v>300000000</v>
      </c>
      <c r="S28" s="5">
        <v>300000000</v>
      </c>
      <c r="T28" s="5">
        <v>60000000</v>
      </c>
      <c r="U28" s="5">
        <v>15000000</v>
      </c>
      <c r="V28" s="5"/>
      <c r="W28" s="5">
        <f>40*24*60+ 4*60+ 27</f>
        <v>57867</v>
      </c>
      <c r="X28" s="27">
        <f t="shared" si="1"/>
        <v>35241.778319123019</v>
      </c>
      <c r="Y28" t="str">
        <f t="shared" si="8"/>
        <v>24d 11h 21m 0s</v>
      </c>
      <c r="Z28" t="s">
        <v>88</v>
      </c>
      <c r="AC28">
        <f t="shared" si="4"/>
        <v>24</v>
      </c>
      <c r="AD28">
        <f t="shared" si="5"/>
        <v>11</v>
      </c>
      <c r="AE28">
        <f t="shared" si="6"/>
        <v>21</v>
      </c>
      <c r="AF28" s="6">
        <f t="shared" si="7"/>
        <v>0</v>
      </c>
    </row>
    <row r="29" spans="1:32" x14ac:dyDescent="0.25">
      <c r="C29" s="8"/>
      <c r="D29" s="8"/>
      <c r="E29" s="8"/>
      <c r="F29" s="8"/>
      <c r="G29" s="8"/>
      <c r="P29" t="s">
        <v>69</v>
      </c>
      <c r="Q29" s="3" t="s">
        <v>12</v>
      </c>
      <c r="R29" s="5">
        <v>67000000</v>
      </c>
      <c r="S29" s="5">
        <v>67000000</v>
      </c>
      <c r="T29" s="5">
        <v>13000000</v>
      </c>
      <c r="U29" s="5">
        <v>3300000</v>
      </c>
      <c r="V29" s="5">
        <v>132</v>
      </c>
      <c r="W29" s="5">
        <f>7*24*60</f>
        <v>10080</v>
      </c>
      <c r="X29" s="27">
        <f t="shared" si="1"/>
        <v>6138.8550548112062</v>
      </c>
      <c r="Y29" t="str">
        <f t="shared" si="8"/>
        <v>4d 6h 18m 0s</v>
      </c>
      <c r="Z29" t="s">
        <v>82</v>
      </c>
      <c r="AC29">
        <f t="shared" si="4"/>
        <v>4</v>
      </c>
      <c r="AD29">
        <f t="shared" si="5"/>
        <v>6</v>
      </c>
      <c r="AE29">
        <f t="shared" si="6"/>
        <v>18</v>
      </c>
      <c r="AF29" s="6">
        <f t="shared" si="7"/>
        <v>0</v>
      </c>
    </row>
    <row r="30" spans="1:32" x14ac:dyDescent="0.25">
      <c r="P30" t="s">
        <v>70</v>
      </c>
      <c r="Q30" s="3"/>
      <c r="R30" s="5">
        <v>67000000</v>
      </c>
      <c r="S30" s="5">
        <v>67000000</v>
      </c>
      <c r="T30" s="5">
        <v>13000000</v>
      </c>
      <c r="U30" s="5">
        <v>3300000</v>
      </c>
      <c r="V30" s="5">
        <v>132</v>
      </c>
      <c r="W30" s="5">
        <f t="shared" ref="W30:W33" si="9">7*24*60</f>
        <v>10080</v>
      </c>
      <c r="X30" s="27">
        <f t="shared" si="1"/>
        <v>6138.8550548112062</v>
      </c>
      <c r="Y30" t="str">
        <f t="shared" si="8"/>
        <v>4d 6h 18m 0s</v>
      </c>
      <c r="Z30" t="s">
        <v>82</v>
      </c>
      <c r="AC30">
        <f t="shared" si="4"/>
        <v>4</v>
      </c>
      <c r="AD30">
        <f t="shared" si="5"/>
        <v>6</v>
      </c>
      <c r="AE30">
        <f t="shared" si="6"/>
        <v>18</v>
      </c>
      <c r="AF30" s="6">
        <f t="shared" si="7"/>
        <v>0</v>
      </c>
    </row>
    <row r="31" spans="1:32" x14ac:dyDescent="0.25">
      <c r="C31" s="8"/>
      <c r="D31" s="8"/>
      <c r="E31" s="8"/>
      <c r="F31" s="8"/>
      <c r="G31" s="8"/>
      <c r="H31" s="1" t="s">
        <v>4</v>
      </c>
      <c r="I31" s="1"/>
      <c r="J31" s="1"/>
      <c r="K31" s="1"/>
      <c r="P31" t="s">
        <v>71</v>
      </c>
      <c r="Q31" s="3"/>
      <c r="R31" s="5">
        <v>67000000</v>
      </c>
      <c r="S31" s="5">
        <v>67000000</v>
      </c>
      <c r="T31" s="5">
        <v>13000000</v>
      </c>
      <c r="U31" s="5">
        <v>3300000</v>
      </c>
      <c r="V31" s="5">
        <v>132</v>
      </c>
      <c r="W31" s="5">
        <f t="shared" si="9"/>
        <v>10080</v>
      </c>
      <c r="X31" s="27">
        <f t="shared" si="1"/>
        <v>6138.8550548112062</v>
      </c>
      <c r="Y31" t="str">
        <f t="shared" si="8"/>
        <v>4d 6h 18m 0s</v>
      </c>
      <c r="Z31" t="s">
        <v>82</v>
      </c>
      <c r="AC31">
        <f t="shared" si="4"/>
        <v>4</v>
      </c>
      <c r="AD31">
        <f t="shared" si="5"/>
        <v>6</v>
      </c>
      <c r="AE31">
        <f t="shared" si="6"/>
        <v>18</v>
      </c>
      <c r="AF31" s="6">
        <f t="shared" si="7"/>
        <v>0</v>
      </c>
    </row>
    <row r="32" spans="1:32" x14ac:dyDescent="0.25">
      <c r="B32" s="1" t="s">
        <v>59</v>
      </c>
      <c r="C32" s="1" t="s">
        <v>0</v>
      </c>
      <c r="D32" s="1" t="s">
        <v>1</v>
      </c>
      <c r="E32" s="1" t="s">
        <v>2</v>
      </c>
      <c r="F32" s="1" t="s">
        <v>3</v>
      </c>
      <c r="G32" s="1" t="s">
        <v>78</v>
      </c>
      <c r="H32" s="1" t="s">
        <v>20</v>
      </c>
      <c r="I32" s="1" t="s">
        <v>21</v>
      </c>
      <c r="J32" s="1" t="s">
        <v>22</v>
      </c>
      <c r="K32" s="1" t="s">
        <v>23</v>
      </c>
      <c r="P32" t="s">
        <v>72</v>
      </c>
      <c r="Q32" s="3"/>
      <c r="R32" s="5">
        <v>67000000</v>
      </c>
      <c r="S32" s="5">
        <v>67000000</v>
      </c>
      <c r="T32" s="5">
        <v>13000000</v>
      </c>
      <c r="U32" s="5">
        <v>3300000</v>
      </c>
      <c r="V32" s="5">
        <v>132</v>
      </c>
      <c r="W32" s="5">
        <f t="shared" si="9"/>
        <v>10080</v>
      </c>
      <c r="X32" s="27">
        <f t="shared" si="1"/>
        <v>6138.8550548112062</v>
      </c>
      <c r="Y32" t="str">
        <f>_xlfn.CONCAT(AC32,"d ",AD32,"h ",AE32,"m ",AF32,"s")</f>
        <v>4d 6h 18m 0s</v>
      </c>
      <c r="Z32" t="s">
        <v>82</v>
      </c>
      <c r="AC32">
        <f t="shared" si="4"/>
        <v>4</v>
      </c>
      <c r="AD32">
        <f t="shared" si="5"/>
        <v>6</v>
      </c>
      <c r="AE32">
        <f t="shared" si="6"/>
        <v>18</v>
      </c>
      <c r="AF32" s="6">
        <f t="shared" si="7"/>
        <v>0</v>
      </c>
    </row>
    <row r="33" spans="2:32" x14ac:dyDescent="0.25">
      <c r="B33" t="s">
        <v>24</v>
      </c>
      <c r="C33" s="4">
        <f t="shared" ref="C33:K33" si="10">C3</f>
        <v>536550000</v>
      </c>
      <c r="D33" s="4">
        <f t="shared" si="10"/>
        <v>500000000</v>
      </c>
      <c r="E33" s="4">
        <f t="shared" si="10"/>
        <v>127000000</v>
      </c>
      <c r="F33" s="4">
        <f t="shared" si="10"/>
        <v>25000000</v>
      </c>
      <c r="G33" s="5">
        <f t="shared" si="10"/>
        <v>800</v>
      </c>
      <c r="H33" s="8">
        <f t="shared" si="10"/>
        <v>62250</v>
      </c>
      <c r="I33" s="8">
        <f t="shared" si="10"/>
        <v>11881</v>
      </c>
      <c r="J33" s="8">
        <f t="shared" si="10"/>
        <v>17401</v>
      </c>
      <c r="K33" s="8">
        <f t="shared" si="10"/>
        <v>42469</v>
      </c>
      <c r="P33" t="s">
        <v>73</v>
      </c>
      <c r="Q33" s="3"/>
      <c r="R33" s="5">
        <v>67000000</v>
      </c>
      <c r="S33" s="5">
        <v>67000000</v>
      </c>
      <c r="T33" s="5">
        <v>13000000</v>
      </c>
      <c r="U33" s="5">
        <v>3300000</v>
      </c>
      <c r="V33" s="5">
        <v>132</v>
      </c>
      <c r="W33" s="5">
        <f t="shared" si="9"/>
        <v>10080</v>
      </c>
      <c r="X33" s="27">
        <f t="shared" si="1"/>
        <v>6138.8550548112062</v>
      </c>
      <c r="Y33" t="str">
        <f t="shared" si="8"/>
        <v>4d 6h 18m 0s</v>
      </c>
      <c r="Z33" t="s">
        <v>82</v>
      </c>
      <c r="AC33">
        <f t="shared" si="4"/>
        <v>4</v>
      </c>
      <c r="AD33">
        <f t="shared" si="5"/>
        <v>6</v>
      </c>
      <c r="AE33">
        <f t="shared" si="6"/>
        <v>18</v>
      </c>
      <c r="AF33" s="6">
        <f t="shared" si="7"/>
        <v>0</v>
      </c>
    </row>
    <row r="34" spans="2:32" x14ac:dyDescent="0.25">
      <c r="B34" t="s">
        <v>26</v>
      </c>
      <c r="C34" s="4">
        <f>C6</f>
        <v>210000000</v>
      </c>
      <c r="D34" s="4">
        <f>D6</f>
        <v>210000000</v>
      </c>
      <c r="E34" s="4">
        <f>E6</f>
        <v>28000000</v>
      </c>
      <c r="F34" s="4">
        <f>F6</f>
        <v>21000000</v>
      </c>
      <c r="G34" s="5"/>
      <c r="P34" t="s">
        <v>89</v>
      </c>
      <c r="Q34" s="3"/>
      <c r="R34" s="5">
        <v>13000000</v>
      </c>
      <c r="S34" s="5">
        <v>13000000</v>
      </c>
      <c r="T34" s="5">
        <v>2700000</v>
      </c>
      <c r="U34" s="5">
        <v>670000</v>
      </c>
      <c r="V34" s="5">
        <v>33</v>
      </c>
      <c r="W34" s="5">
        <f>4*24*60+ 14*60+ 52</f>
        <v>6652</v>
      </c>
      <c r="X34" s="27">
        <f t="shared" si="1"/>
        <v>4051.1571254567602</v>
      </c>
      <c r="Y34" t="str">
        <f t="shared" si="8"/>
        <v>2d 19h 31m 0s</v>
      </c>
      <c r="Z34" t="s">
        <v>73</v>
      </c>
      <c r="AC34">
        <f t="shared" si="4"/>
        <v>2</v>
      </c>
      <c r="AD34">
        <f t="shared" si="5"/>
        <v>19</v>
      </c>
      <c r="AE34">
        <f t="shared" si="6"/>
        <v>31</v>
      </c>
      <c r="AF34" s="6">
        <f t="shared" si="7"/>
        <v>0</v>
      </c>
    </row>
    <row r="35" spans="2:32" x14ac:dyDescent="0.25">
      <c r="B35" t="s">
        <v>60</v>
      </c>
      <c r="C35" s="4">
        <f>C10</f>
        <v>92414000</v>
      </c>
      <c r="D35" s="4">
        <f>D10</f>
        <v>111142500</v>
      </c>
      <c r="E35" s="4">
        <f>E10</f>
        <v>23142000</v>
      </c>
      <c r="F35" s="4">
        <f>F10</f>
        <v>4872000</v>
      </c>
      <c r="G35" s="5">
        <f>G9</f>
        <v>0</v>
      </c>
      <c r="P35" t="s">
        <v>90</v>
      </c>
      <c r="Q35" s="3"/>
      <c r="R35" s="5">
        <v>13000000</v>
      </c>
      <c r="S35" s="5">
        <v>13000000</v>
      </c>
      <c r="T35" s="5">
        <v>2700000</v>
      </c>
      <c r="U35" s="5">
        <v>670000</v>
      </c>
      <c r="V35" s="5">
        <v>33</v>
      </c>
      <c r="W35" s="5">
        <f t="shared" ref="W35:W38" si="11">4*24*60+ 14*60+ 52</f>
        <v>6652</v>
      </c>
      <c r="X35" s="27">
        <f t="shared" si="1"/>
        <v>4051.1571254567602</v>
      </c>
      <c r="Y35" t="str">
        <f t="shared" si="8"/>
        <v>2d 19h 31m 0s</v>
      </c>
      <c r="Z35" t="s">
        <v>73</v>
      </c>
      <c r="AC35">
        <f t="shared" si="4"/>
        <v>2</v>
      </c>
      <c r="AD35">
        <f t="shared" si="5"/>
        <v>19</v>
      </c>
      <c r="AE35">
        <f t="shared" si="6"/>
        <v>31</v>
      </c>
      <c r="AF35" s="6">
        <f t="shared" si="7"/>
        <v>0</v>
      </c>
    </row>
    <row r="36" spans="2:32" x14ac:dyDescent="0.25">
      <c r="B36" t="s">
        <v>61</v>
      </c>
      <c r="C36" s="4">
        <f>R72</f>
        <v>447000000</v>
      </c>
      <c r="D36" s="4">
        <f>S72</f>
        <v>447000000</v>
      </c>
      <c r="E36" s="4">
        <f>T72</f>
        <v>91000000</v>
      </c>
      <c r="F36" s="4">
        <f>U72</f>
        <v>23900000</v>
      </c>
      <c r="G36" s="5">
        <f>V72</f>
        <v>132</v>
      </c>
      <c r="I36" s="8">
        <f>X72</f>
        <v>45257.003654080392</v>
      </c>
      <c r="P36" t="s">
        <v>91</v>
      </c>
      <c r="Q36" s="3"/>
      <c r="R36" s="5">
        <v>13000000</v>
      </c>
      <c r="S36" s="5">
        <v>13000000</v>
      </c>
      <c r="T36" s="5">
        <v>2700000</v>
      </c>
      <c r="U36" s="5">
        <v>670000</v>
      </c>
      <c r="V36" s="5">
        <v>33</v>
      </c>
      <c r="W36" s="5">
        <f t="shared" si="11"/>
        <v>6652</v>
      </c>
      <c r="X36" s="27">
        <f t="shared" si="1"/>
        <v>4051.1571254567602</v>
      </c>
      <c r="Y36" t="str">
        <f t="shared" si="8"/>
        <v>2d 19h 31m 0s</v>
      </c>
      <c r="Z36" t="s">
        <v>73</v>
      </c>
      <c r="AC36">
        <f t="shared" si="4"/>
        <v>2</v>
      </c>
      <c r="AD36">
        <f t="shared" si="5"/>
        <v>19</v>
      </c>
      <c r="AE36">
        <f t="shared" si="6"/>
        <v>31</v>
      </c>
      <c r="AF36" s="6">
        <f t="shared" si="7"/>
        <v>0</v>
      </c>
    </row>
    <row r="37" spans="2:32" x14ac:dyDescent="0.25">
      <c r="B37" t="s">
        <v>62</v>
      </c>
      <c r="C37" s="4">
        <f>C27</f>
        <v>216050000</v>
      </c>
      <c r="D37" s="4">
        <f>D27</f>
        <v>221560000</v>
      </c>
      <c r="E37" s="4">
        <f>E27</f>
        <v>43770000</v>
      </c>
      <c r="F37" s="4">
        <f>F27</f>
        <v>11430000</v>
      </c>
      <c r="G37" s="5"/>
      <c r="J37" s="8">
        <f>SUM(J18:J27)</f>
        <v>45142.798367902084</v>
      </c>
      <c r="P37" t="s">
        <v>92</v>
      </c>
      <c r="Q37" s="3"/>
      <c r="R37" s="5">
        <v>13000000</v>
      </c>
      <c r="S37" s="5">
        <v>13000000</v>
      </c>
      <c r="T37" s="5">
        <v>2700000</v>
      </c>
      <c r="U37" s="5">
        <v>670000</v>
      </c>
      <c r="V37" s="5">
        <v>33</v>
      </c>
      <c r="W37" s="5">
        <f t="shared" si="11"/>
        <v>6652</v>
      </c>
      <c r="X37" s="27">
        <f t="shared" si="1"/>
        <v>4051.1571254567602</v>
      </c>
      <c r="Y37" t="str">
        <f t="shared" si="8"/>
        <v>2d 19h 31m 0s</v>
      </c>
      <c r="Z37" t="s">
        <v>73</v>
      </c>
      <c r="AC37">
        <f t="shared" si="4"/>
        <v>2</v>
      </c>
      <c r="AD37">
        <f t="shared" si="5"/>
        <v>19</v>
      </c>
      <c r="AE37">
        <f t="shared" si="6"/>
        <v>31</v>
      </c>
      <c r="AF37" s="6">
        <f t="shared" si="7"/>
        <v>0</v>
      </c>
    </row>
    <row r="38" spans="2:32" x14ac:dyDescent="0.25">
      <c r="B38" t="s">
        <v>63</v>
      </c>
      <c r="C38" s="4">
        <f>C14</f>
        <v>156200000</v>
      </c>
      <c r="D38" s="4">
        <f>D14</f>
        <v>148259999.99999997</v>
      </c>
      <c r="E38" s="4">
        <f>E14</f>
        <v>30420000</v>
      </c>
      <c r="F38" s="4">
        <f>F14</f>
        <v>7460000</v>
      </c>
      <c r="G38" s="5"/>
      <c r="K38" s="8">
        <f>K14</f>
        <v>42629.754458741576</v>
      </c>
      <c r="P38" t="s">
        <v>93</v>
      </c>
      <c r="Q38" s="3"/>
      <c r="R38" s="5">
        <v>13000000</v>
      </c>
      <c r="S38" s="5">
        <v>13000000</v>
      </c>
      <c r="T38" s="5">
        <v>2700000</v>
      </c>
      <c r="U38" s="5">
        <v>670000</v>
      </c>
      <c r="V38" s="5">
        <v>33</v>
      </c>
      <c r="W38" s="5">
        <f t="shared" si="11"/>
        <v>6652</v>
      </c>
      <c r="X38" s="27">
        <f t="shared" si="1"/>
        <v>4051.1571254567602</v>
      </c>
      <c r="Y38" t="str">
        <f t="shared" si="8"/>
        <v>2d 19h 31m 0s</v>
      </c>
      <c r="Z38" t="s">
        <v>73</v>
      </c>
      <c r="AC38">
        <f t="shared" si="4"/>
        <v>2</v>
      </c>
      <c r="AD38">
        <f t="shared" si="5"/>
        <v>19</v>
      </c>
      <c r="AE38">
        <f t="shared" si="6"/>
        <v>31</v>
      </c>
      <c r="AF38" s="6">
        <f t="shared" si="7"/>
        <v>0</v>
      </c>
    </row>
    <row r="39" spans="2:32" x14ac:dyDescent="0.25">
      <c r="C39" s="4"/>
      <c r="D39" s="4"/>
      <c r="E39" s="4"/>
      <c r="F39" s="4"/>
      <c r="G39" s="5"/>
      <c r="P39" t="s">
        <v>94</v>
      </c>
      <c r="Q39" s="3"/>
      <c r="R39" s="5">
        <v>23000000</v>
      </c>
      <c r="S39" s="5">
        <v>23000000</v>
      </c>
      <c r="T39" s="5">
        <v>4700000</v>
      </c>
      <c r="U39" s="5">
        <v>1100000</v>
      </c>
      <c r="V39" s="5">
        <v>59</v>
      </c>
      <c r="W39" s="5">
        <f>1*24*60+ 1*60+ 12</f>
        <v>1512</v>
      </c>
      <c r="X39" s="27">
        <f t="shared" si="1"/>
        <v>920.82825822168093</v>
      </c>
      <c r="Y39" t="str">
        <f t="shared" si="8"/>
        <v>0d 15h 20m 0s</v>
      </c>
      <c r="Z39" t="s">
        <v>73</v>
      </c>
      <c r="AC39">
        <f t="shared" si="4"/>
        <v>0</v>
      </c>
      <c r="AD39">
        <f t="shared" si="5"/>
        <v>15</v>
      </c>
      <c r="AE39">
        <f t="shared" si="6"/>
        <v>20</v>
      </c>
      <c r="AF39" s="6">
        <f t="shared" si="7"/>
        <v>0</v>
      </c>
    </row>
    <row r="40" spans="2:32" x14ac:dyDescent="0.25">
      <c r="B40" s="1" t="s">
        <v>64</v>
      </c>
      <c r="C40" s="4">
        <f>SUM(C33:C35)</f>
        <v>838964000</v>
      </c>
      <c r="D40" s="4">
        <f t="shared" ref="D40:F40" si="12">SUM(D33:D35)</f>
        <v>821142500</v>
      </c>
      <c r="E40" s="4">
        <f t="shared" si="12"/>
        <v>178142000</v>
      </c>
      <c r="F40" s="4">
        <f t="shared" si="12"/>
        <v>50872000</v>
      </c>
      <c r="G40" s="5">
        <f>SUM(G33:G35)</f>
        <v>800</v>
      </c>
      <c r="H40" s="8">
        <f>H33</f>
        <v>62250</v>
      </c>
      <c r="I40" s="8">
        <f t="shared" ref="I40" si="13">I33</f>
        <v>11881</v>
      </c>
      <c r="J40" s="8">
        <f>J33</f>
        <v>17401</v>
      </c>
      <c r="L40" s="9"/>
      <c r="M40" s="9"/>
      <c r="N40" s="9"/>
      <c r="P40" t="s">
        <v>95</v>
      </c>
      <c r="Q40" s="3"/>
      <c r="R40" s="5">
        <v>23000000</v>
      </c>
      <c r="S40" s="5">
        <v>23000000</v>
      </c>
      <c r="T40" s="5">
        <v>4700000</v>
      </c>
      <c r="U40" s="5">
        <v>1100000</v>
      </c>
      <c r="V40" s="5">
        <v>59</v>
      </c>
      <c r="W40" s="5">
        <f t="shared" ref="W40:W43" si="14">1*24*60+ 1*60+ 12</f>
        <v>1512</v>
      </c>
      <c r="X40" s="27">
        <f t="shared" si="1"/>
        <v>920.82825822168093</v>
      </c>
      <c r="Y40" t="str">
        <f t="shared" si="8"/>
        <v>0d 15h 20m 0s</v>
      </c>
      <c r="Z40" t="s">
        <v>73</v>
      </c>
      <c r="AC40">
        <f t="shared" si="4"/>
        <v>0</v>
      </c>
      <c r="AD40">
        <f t="shared" si="5"/>
        <v>15</v>
      </c>
      <c r="AE40">
        <f t="shared" si="6"/>
        <v>20</v>
      </c>
      <c r="AF40" s="6">
        <f t="shared" si="7"/>
        <v>0</v>
      </c>
    </row>
    <row r="41" spans="2:32" x14ac:dyDescent="0.25">
      <c r="B41" s="1" t="s">
        <v>66</v>
      </c>
      <c r="C41" s="4">
        <f>SUM(C36:C38)</f>
        <v>819250000</v>
      </c>
      <c r="D41" s="4">
        <f t="shared" ref="D41:F41" si="15">SUM(D36:D38)</f>
        <v>816820000</v>
      </c>
      <c r="E41" s="4">
        <f t="shared" si="15"/>
        <v>165190000</v>
      </c>
      <c r="F41" s="4">
        <f t="shared" si="15"/>
        <v>42790000</v>
      </c>
      <c r="G41" s="5">
        <f>SUM(G36:G38)</f>
        <v>132</v>
      </c>
      <c r="I41" s="8">
        <f>I36</f>
        <v>45257.003654080392</v>
      </c>
      <c r="J41" s="8">
        <f>J37</f>
        <v>45142.798367902084</v>
      </c>
      <c r="K41" s="8">
        <f>K38</f>
        <v>42629.754458741576</v>
      </c>
      <c r="L41" s="1"/>
      <c r="M41" s="1"/>
      <c r="N41" s="1"/>
      <c r="P41" t="s">
        <v>96</v>
      </c>
      <c r="Q41" s="3"/>
      <c r="R41" s="5">
        <v>23000000</v>
      </c>
      <c r="S41" s="5">
        <v>23000000</v>
      </c>
      <c r="T41" s="5">
        <v>4700000</v>
      </c>
      <c r="U41" s="5">
        <v>1100000</v>
      </c>
      <c r="V41" s="5">
        <v>59</v>
      </c>
      <c r="W41" s="5">
        <f t="shared" si="14"/>
        <v>1512</v>
      </c>
      <c r="X41" s="27">
        <f t="shared" si="1"/>
        <v>920.82825822168093</v>
      </c>
      <c r="Y41" t="str">
        <f t="shared" si="8"/>
        <v>0d 15h 20m 0s</v>
      </c>
      <c r="Z41" t="s">
        <v>73</v>
      </c>
      <c r="AC41">
        <f t="shared" si="4"/>
        <v>0</v>
      </c>
      <c r="AD41">
        <f t="shared" si="5"/>
        <v>15</v>
      </c>
      <c r="AE41">
        <f t="shared" si="6"/>
        <v>20</v>
      </c>
      <c r="AF41" s="6">
        <f t="shared" si="7"/>
        <v>0</v>
      </c>
    </row>
    <row r="42" spans="2:32" x14ac:dyDescent="0.25">
      <c r="B42" s="1" t="s">
        <v>68</v>
      </c>
      <c r="C42" s="24">
        <f>C40-C41</f>
        <v>19714000</v>
      </c>
      <c r="D42" s="24">
        <f>D40-D41</f>
        <v>4322500</v>
      </c>
      <c r="E42" s="24">
        <f>E40-E41</f>
        <v>12952000</v>
      </c>
      <c r="F42" s="24">
        <f>F40-F41</f>
        <v>8082000</v>
      </c>
      <c r="G42" s="28">
        <f>G40-G41</f>
        <v>668</v>
      </c>
      <c r="H42" t="s">
        <v>80</v>
      </c>
      <c r="I42" s="25" cm="1">
        <f t="array" ref="I42">SUM(H40:K40-H41:K41)</f>
        <v>-41497.556480724052</v>
      </c>
      <c r="J42" s="25"/>
      <c r="K42" s="26"/>
      <c r="L42" s="8"/>
      <c r="M42" s="8"/>
      <c r="N42" s="8"/>
      <c r="P42" t="s">
        <v>97</v>
      </c>
      <c r="Q42" s="3"/>
      <c r="R42" s="5">
        <v>23000000</v>
      </c>
      <c r="S42" s="5">
        <v>23000000</v>
      </c>
      <c r="T42" s="5">
        <v>4700000</v>
      </c>
      <c r="U42" s="5">
        <v>1100000</v>
      </c>
      <c r="V42" s="5">
        <v>59</v>
      </c>
      <c r="W42" s="5">
        <f t="shared" si="14"/>
        <v>1512</v>
      </c>
      <c r="X42" s="27">
        <f t="shared" si="1"/>
        <v>920.82825822168093</v>
      </c>
      <c r="Y42" t="str">
        <f t="shared" si="8"/>
        <v>0d 15h 20m 0s</v>
      </c>
      <c r="Z42" t="s">
        <v>73</v>
      </c>
      <c r="AC42">
        <f t="shared" si="4"/>
        <v>0</v>
      </c>
      <c r="AD42">
        <f t="shared" si="5"/>
        <v>15</v>
      </c>
      <c r="AE42">
        <f t="shared" si="6"/>
        <v>20</v>
      </c>
      <c r="AF42" s="6">
        <f t="shared" si="7"/>
        <v>0</v>
      </c>
    </row>
    <row r="43" spans="2:32" x14ac:dyDescent="0.25">
      <c r="H43" t="s">
        <v>81</v>
      </c>
      <c r="I43" s="25" cm="1">
        <f t="array" ref="I43">SUM(H40:J40-H41:J41)</f>
        <v>1132.1979780175243</v>
      </c>
      <c r="P43" t="s">
        <v>98</v>
      </c>
      <c r="Q43" s="3"/>
      <c r="R43" s="5">
        <v>23000000</v>
      </c>
      <c r="S43" s="5">
        <v>23000000</v>
      </c>
      <c r="T43" s="5">
        <v>4700000</v>
      </c>
      <c r="U43" s="5">
        <v>1100000</v>
      </c>
      <c r="V43" s="5">
        <v>59</v>
      </c>
      <c r="W43" s="5">
        <f t="shared" si="14"/>
        <v>1512</v>
      </c>
      <c r="X43" s="27">
        <f t="shared" si="1"/>
        <v>920.82825822168093</v>
      </c>
      <c r="Y43" t="str">
        <f t="shared" si="8"/>
        <v>0d 15h 20m 0s</v>
      </c>
      <c r="Z43" t="s">
        <v>73</v>
      </c>
      <c r="AC43">
        <f t="shared" si="4"/>
        <v>0</v>
      </c>
      <c r="AD43">
        <f t="shared" si="5"/>
        <v>15</v>
      </c>
      <c r="AE43">
        <f t="shared" si="6"/>
        <v>20</v>
      </c>
      <c r="AF43" s="6">
        <f t="shared" si="7"/>
        <v>0</v>
      </c>
    </row>
    <row r="44" spans="2:32" x14ac:dyDescent="0.25">
      <c r="P44" t="s">
        <v>74</v>
      </c>
      <c r="Q44" s="3"/>
      <c r="R44" s="5">
        <v>72000000</v>
      </c>
      <c r="S44" s="5">
        <v>72000000</v>
      </c>
      <c r="T44" s="5">
        <v>14000000</v>
      </c>
      <c r="U44" s="5">
        <v>3600000</v>
      </c>
      <c r="V44" s="5">
        <v>158</v>
      </c>
      <c r="W44" s="5">
        <f>9*24*60</f>
        <v>12960</v>
      </c>
      <c r="X44" s="27">
        <f t="shared" si="1"/>
        <v>7892.8136419001221</v>
      </c>
      <c r="Y44" t="str">
        <f t="shared" ref="Y44:Y70" si="16">_xlfn.CONCAT(AC44,"d ",AD44,"h ",AE44,"m ",AF44,"s")</f>
        <v>5d 11h 32m 0s</v>
      </c>
      <c r="Z44" t="s">
        <v>84</v>
      </c>
      <c r="AC44">
        <f t="shared" si="4"/>
        <v>5</v>
      </c>
      <c r="AD44">
        <f t="shared" si="5"/>
        <v>11</v>
      </c>
      <c r="AE44">
        <f t="shared" si="6"/>
        <v>32</v>
      </c>
      <c r="AF44" s="6">
        <f t="shared" si="7"/>
        <v>0</v>
      </c>
    </row>
    <row r="45" spans="2:32" x14ac:dyDescent="0.25">
      <c r="P45" t="s">
        <v>75</v>
      </c>
      <c r="Q45" s="3"/>
      <c r="R45" s="5">
        <v>72000000</v>
      </c>
      <c r="S45" s="5">
        <v>72000000</v>
      </c>
      <c r="T45" s="5">
        <v>14000000</v>
      </c>
      <c r="U45" s="5">
        <v>3600000</v>
      </c>
      <c r="V45" s="5">
        <v>158</v>
      </c>
      <c r="W45" s="5">
        <f t="shared" ref="W45:W48" si="17">9*24*60</f>
        <v>12960</v>
      </c>
      <c r="X45" s="27">
        <f t="shared" si="1"/>
        <v>7892.8136419001221</v>
      </c>
      <c r="Y45" t="str">
        <f t="shared" ref="Y45:Y48" si="18">_xlfn.CONCAT(AC45,"d ",AD45,"h ",AE45,"m ",AF45,"s")</f>
        <v>5d 11h 32m 0s</v>
      </c>
      <c r="Z45" t="s">
        <v>84</v>
      </c>
      <c r="AC45">
        <f t="shared" si="4"/>
        <v>5</v>
      </c>
      <c r="AD45">
        <f t="shared" si="5"/>
        <v>11</v>
      </c>
      <c r="AE45">
        <f t="shared" si="6"/>
        <v>32</v>
      </c>
      <c r="AF45" s="6">
        <f t="shared" si="7"/>
        <v>0</v>
      </c>
    </row>
    <row r="46" spans="2:32" x14ac:dyDescent="0.25">
      <c r="P46" t="s">
        <v>76</v>
      </c>
      <c r="Q46" s="3"/>
      <c r="R46" s="5">
        <v>72000000</v>
      </c>
      <c r="S46" s="5">
        <v>72000000</v>
      </c>
      <c r="T46" s="5">
        <v>14000000</v>
      </c>
      <c r="U46" s="5">
        <v>3600000</v>
      </c>
      <c r="V46" s="5">
        <v>158</v>
      </c>
      <c r="W46" s="5">
        <f t="shared" si="17"/>
        <v>12960</v>
      </c>
      <c r="X46" s="27">
        <f t="shared" si="1"/>
        <v>7892.8136419001221</v>
      </c>
      <c r="Y46" t="str">
        <f t="shared" si="18"/>
        <v>5d 11h 32m 0s</v>
      </c>
      <c r="Z46" t="s">
        <v>84</v>
      </c>
      <c r="AC46">
        <f t="shared" si="4"/>
        <v>5</v>
      </c>
      <c r="AD46">
        <f t="shared" si="5"/>
        <v>11</v>
      </c>
      <c r="AE46">
        <f t="shared" si="6"/>
        <v>32</v>
      </c>
      <c r="AF46" s="6">
        <f t="shared" si="7"/>
        <v>0</v>
      </c>
    </row>
    <row r="47" spans="2:32" x14ac:dyDescent="0.25">
      <c r="L47" s="8"/>
      <c r="M47" s="8"/>
      <c r="N47" s="8"/>
      <c r="P47" t="s">
        <v>77</v>
      </c>
      <c r="Q47" s="3"/>
      <c r="R47" s="5">
        <v>72000000</v>
      </c>
      <c r="S47" s="5">
        <v>72000000</v>
      </c>
      <c r="T47" s="5">
        <v>14000000</v>
      </c>
      <c r="U47" s="5">
        <v>3600000</v>
      </c>
      <c r="V47" s="5">
        <v>158</v>
      </c>
      <c r="W47" s="5">
        <f t="shared" si="17"/>
        <v>12960</v>
      </c>
      <c r="X47" s="27">
        <f t="shared" si="1"/>
        <v>7892.8136419001221</v>
      </c>
      <c r="Y47" t="str">
        <f t="shared" si="18"/>
        <v>5d 11h 32m 0s</v>
      </c>
      <c r="Z47" t="s">
        <v>84</v>
      </c>
      <c r="AC47">
        <f t="shared" si="4"/>
        <v>5</v>
      </c>
      <c r="AD47">
        <f t="shared" si="5"/>
        <v>11</v>
      </c>
      <c r="AE47">
        <f t="shared" si="6"/>
        <v>32</v>
      </c>
      <c r="AF47" s="6">
        <f t="shared" si="7"/>
        <v>0</v>
      </c>
    </row>
    <row r="48" spans="2:32" x14ac:dyDescent="0.25">
      <c r="P48" t="s">
        <v>79</v>
      </c>
      <c r="Q48" s="3"/>
      <c r="R48" s="5">
        <v>72000000</v>
      </c>
      <c r="S48" s="5">
        <v>72000000</v>
      </c>
      <c r="T48" s="5">
        <v>14000000</v>
      </c>
      <c r="U48" s="5">
        <v>3600000</v>
      </c>
      <c r="V48" s="5">
        <v>158</v>
      </c>
      <c r="W48" s="5">
        <f t="shared" si="17"/>
        <v>12960</v>
      </c>
      <c r="X48" s="27">
        <f t="shared" si="1"/>
        <v>7892.8136419001221</v>
      </c>
      <c r="Y48" t="str">
        <f t="shared" si="18"/>
        <v>5d 11h 32m 0s</v>
      </c>
      <c r="Z48" t="s">
        <v>84</v>
      </c>
      <c r="AC48">
        <f t="shared" si="4"/>
        <v>5</v>
      </c>
      <c r="AD48">
        <f t="shared" si="5"/>
        <v>11</v>
      </c>
      <c r="AE48">
        <f t="shared" si="6"/>
        <v>32</v>
      </c>
      <c r="AF48" s="6">
        <f t="shared" si="7"/>
        <v>0</v>
      </c>
    </row>
    <row r="49" spans="12:32" x14ac:dyDescent="0.25">
      <c r="P49" t="s">
        <v>99</v>
      </c>
      <c r="Q49" s="3"/>
      <c r="R49" s="5">
        <v>14000000</v>
      </c>
      <c r="S49" s="5">
        <v>14000000</v>
      </c>
      <c r="T49" s="5">
        <v>2900000</v>
      </c>
      <c r="U49" s="5">
        <v>720000</v>
      </c>
      <c r="V49" s="5">
        <v>39</v>
      </c>
      <c r="W49" s="5">
        <f>5*24*60+ 22*60+ 33</f>
        <v>8553</v>
      </c>
      <c r="X49" s="27">
        <f t="shared" si="1"/>
        <v>5208.8915956151041</v>
      </c>
      <c r="Y49" t="str">
        <f t="shared" si="16"/>
        <v>3d 14h 48m 0s</v>
      </c>
      <c r="Z49" t="s">
        <v>79</v>
      </c>
      <c r="AC49">
        <f t="shared" si="4"/>
        <v>3</v>
      </c>
      <c r="AD49">
        <f t="shared" si="5"/>
        <v>14</v>
      </c>
      <c r="AE49">
        <f t="shared" si="6"/>
        <v>48</v>
      </c>
      <c r="AF49" s="6">
        <f t="shared" si="7"/>
        <v>0</v>
      </c>
    </row>
    <row r="50" spans="12:32" x14ac:dyDescent="0.25">
      <c r="L50" s="8"/>
      <c r="M50" s="8"/>
      <c r="N50" s="8"/>
      <c r="P50" t="s">
        <v>100</v>
      </c>
      <c r="Q50" s="3"/>
      <c r="R50" s="5">
        <v>14000000</v>
      </c>
      <c r="S50" s="5">
        <v>14000000</v>
      </c>
      <c r="T50" s="5">
        <v>2900000</v>
      </c>
      <c r="U50" s="5">
        <v>720000</v>
      </c>
      <c r="V50" s="5">
        <v>39</v>
      </c>
      <c r="W50" s="5">
        <f t="shared" ref="W50:W53" si="19">5*24*60+ 22*60+ 33</f>
        <v>8553</v>
      </c>
      <c r="X50" s="27">
        <f t="shared" si="1"/>
        <v>5208.8915956151041</v>
      </c>
      <c r="Y50" t="str">
        <f t="shared" si="16"/>
        <v>3d 14h 48m 0s</v>
      </c>
      <c r="Z50" t="s">
        <v>79</v>
      </c>
      <c r="AC50">
        <f t="shared" si="4"/>
        <v>3</v>
      </c>
      <c r="AD50">
        <f t="shared" si="5"/>
        <v>14</v>
      </c>
      <c r="AE50">
        <f t="shared" si="6"/>
        <v>48</v>
      </c>
      <c r="AF50" s="6">
        <f t="shared" si="7"/>
        <v>0</v>
      </c>
    </row>
    <row r="51" spans="12:32" x14ac:dyDescent="0.25">
      <c r="P51" t="s">
        <v>101</v>
      </c>
      <c r="Q51" s="3"/>
      <c r="R51" s="5">
        <v>14000000</v>
      </c>
      <c r="S51" s="5">
        <v>14000000</v>
      </c>
      <c r="T51" s="5">
        <v>2900000</v>
      </c>
      <c r="U51" s="5">
        <v>720000</v>
      </c>
      <c r="V51" s="5">
        <v>39</v>
      </c>
      <c r="W51" s="5">
        <f t="shared" si="19"/>
        <v>8553</v>
      </c>
      <c r="X51" s="27">
        <f t="shared" si="1"/>
        <v>5208.8915956151041</v>
      </c>
      <c r="Y51" t="str">
        <f t="shared" si="16"/>
        <v>3d 14h 48m 0s</v>
      </c>
      <c r="Z51" t="s">
        <v>79</v>
      </c>
      <c r="AC51">
        <f t="shared" si="4"/>
        <v>3</v>
      </c>
      <c r="AD51">
        <f t="shared" si="5"/>
        <v>14</v>
      </c>
      <c r="AE51">
        <f t="shared" si="6"/>
        <v>48</v>
      </c>
      <c r="AF51" s="6">
        <f t="shared" si="7"/>
        <v>0</v>
      </c>
    </row>
    <row r="52" spans="12:32" x14ac:dyDescent="0.25">
      <c r="P52" t="s">
        <v>102</v>
      </c>
      <c r="Q52" s="3"/>
      <c r="R52" s="5">
        <v>14000000</v>
      </c>
      <c r="S52" s="5">
        <v>14000000</v>
      </c>
      <c r="T52" s="5">
        <v>2900000</v>
      </c>
      <c r="U52" s="5">
        <v>720000</v>
      </c>
      <c r="V52" s="5">
        <v>39</v>
      </c>
      <c r="W52" s="5">
        <f t="shared" si="19"/>
        <v>8553</v>
      </c>
      <c r="X52" s="27">
        <f t="shared" si="1"/>
        <v>5208.8915956151041</v>
      </c>
      <c r="Y52" t="str">
        <f t="shared" si="16"/>
        <v>3d 14h 48m 0s</v>
      </c>
      <c r="Z52" t="s">
        <v>79</v>
      </c>
      <c r="AC52">
        <f t="shared" si="4"/>
        <v>3</v>
      </c>
      <c r="AD52">
        <f t="shared" si="5"/>
        <v>14</v>
      </c>
      <c r="AE52">
        <f t="shared" si="6"/>
        <v>48</v>
      </c>
      <c r="AF52" s="6">
        <f t="shared" si="7"/>
        <v>0</v>
      </c>
    </row>
    <row r="53" spans="12:32" x14ac:dyDescent="0.25">
      <c r="P53" t="s">
        <v>103</v>
      </c>
      <c r="Q53" s="3"/>
      <c r="R53" s="5">
        <v>14000000</v>
      </c>
      <c r="S53" s="5">
        <v>14000000</v>
      </c>
      <c r="T53" s="5">
        <v>2900000</v>
      </c>
      <c r="U53" s="5">
        <v>720000</v>
      </c>
      <c r="V53" s="5">
        <v>39</v>
      </c>
      <c r="W53" s="5">
        <f t="shared" si="19"/>
        <v>8553</v>
      </c>
      <c r="X53" s="27">
        <f t="shared" si="1"/>
        <v>5208.8915956151041</v>
      </c>
      <c r="Y53" t="str">
        <f t="shared" si="16"/>
        <v>3d 14h 48m 0s</v>
      </c>
      <c r="Z53" t="s">
        <v>79</v>
      </c>
      <c r="AC53">
        <f t="shared" si="4"/>
        <v>3</v>
      </c>
      <c r="AD53">
        <f t="shared" si="5"/>
        <v>14</v>
      </c>
      <c r="AE53">
        <f t="shared" si="6"/>
        <v>48</v>
      </c>
      <c r="AF53" s="6">
        <f t="shared" si="7"/>
        <v>0</v>
      </c>
    </row>
    <row r="54" spans="12:32" x14ac:dyDescent="0.25">
      <c r="Q54" s="3"/>
      <c r="R54" s="5"/>
      <c r="S54" s="5"/>
      <c r="T54" s="5"/>
      <c r="U54" s="5"/>
      <c r="V54" s="5"/>
      <c r="W54" s="5"/>
      <c r="X54" s="27">
        <f t="shared" si="1"/>
        <v>0</v>
      </c>
      <c r="Y54" t="str">
        <f t="shared" si="16"/>
        <v>0d 0h 0m 0s</v>
      </c>
      <c r="AC54">
        <f t="shared" si="4"/>
        <v>0</v>
      </c>
      <c r="AD54">
        <f t="shared" si="5"/>
        <v>0</v>
      </c>
      <c r="AE54">
        <f t="shared" si="6"/>
        <v>0</v>
      </c>
      <c r="AF54" s="6">
        <f t="shared" si="7"/>
        <v>0</v>
      </c>
    </row>
    <row r="55" spans="12:32" x14ac:dyDescent="0.25">
      <c r="Q55" s="3"/>
      <c r="R55" s="5"/>
      <c r="S55" s="5"/>
      <c r="T55" s="5"/>
      <c r="U55" s="5"/>
      <c r="V55" s="5"/>
      <c r="W55" s="5"/>
      <c r="X55" s="27">
        <f t="shared" si="1"/>
        <v>0</v>
      </c>
      <c r="Y55" t="str">
        <f t="shared" si="16"/>
        <v>0d 0h 0m 0s</v>
      </c>
      <c r="AC55">
        <f t="shared" si="4"/>
        <v>0</v>
      </c>
      <c r="AD55">
        <f t="shared" si="5"/>
        <v>0</v>
      </c>
      <c r="AE55">
        <f t="shared" si="6"/>
        <v>0</v>
      </c>
      <c r="AF55" s="6">
        <f t="shared" si="7"/>
        <v>0</v>
      </c>
    </row>
    <row r="56" spans="12:32" x14ac:dyDescent="0.25">
      <c r="Q56" s="3"/>
      <c r="R56" s="5"/>
      <c r="S56" s="5"/>
      <c r="T56" s="5"/>
      <c r="U56" s="5"/>
      <c r="V56" s="5"/>
      <c r="W56" s="5"/>
      <c r="X56" s="27">
        <f t="shared" si="1"/>
        <v>0</v>
      </c>
      <c r="Y56" t="str">
        <f t="shared" si="16"/>
        <v>0d 0h 0m 0s</v>
      </c>
      <c r="AC56">
        <f t="shared" si="4"/>
        <v>0</v>
      </c>
      <c r="AD56">
        <f t="shared" si="5"/>
        <v>0</v>
      </c>
      <c r="AE56">
        <f t="shared" si="6"/>
        <v>0</v>
      </c>
      <c r="AF56" s="6">
        <f t="shared" si="7"/>
        <v>0</v>
      </c>
    </row>
    <row r="57" spans="12:32" x14ac:dyDescent="0.25">
      <c r="Q57" s="3"/>
      <c r="R57" s="5"/>
      <c r="S57" s="5"/>
      <c r="T57" s="5"/>
      <c r="U57" s="5"/>
      <c r="V57" s="5"/>
      <c r="W57" s="5"/>
      <c r="X57" s="27">
        <f t="shared" si="1"/>
        <v>0</v>
      </c>
      <c r="Y57" t="str">
        <f t="shared" si="16"/>
        <v>0d 0h 0m 0s</v>
      </c>
      <c r="AC57">
        <f t="shared" si="4"/>
        <v>0</v>
      </c>
      <c r="AD57">
        <f t="shared" si="5"/>
        <v>0</v>
      </c>
      <c r="AE57">
        <f t="shared" si="6"/>
        <v>0</v>
      </c>
      <c r="AF57" s="6">
        <f t="shared" si="7"/>
        <v>0</v>
      </c>
    </row>
    <row r="58" spans="12:32" x14ac:dyDescent="0.25">
      <c r="Q58" s="3"/>
      <c r="R58" s="5"/>
      <c r="S58" s="5"/>
      <c r="T58" s="5"/>
      <c r="U58" s="5"/>
      <c r="V58" s="5"/>
      <c r="W58" s="5"/>
      <c r="X58" s="27">
        <f t="shared" si="1"/>
        <v>0</v>
      </c>
      <c r="Y58" t="str">
        <f t="shared" si="16"/>
        <v>0d 0h 0m 0s</v>
      </c>
      <c r="AC58">
        <f t="shared" si="4"/>
        <v>0</v>
      </c>
      <c r="AD58">
        <f t="shared" si="5"/>
        <v>0</v>
      </c>
      <c r="AE58">
        <f t="shared" si="6"/>
        <v>0</v>
      </c>
      <c r="AF58" s="6">
        <f t="shared" si="7"/>
        <v>0</v>
      </c>
    </row>
    <row r="59" spans="12:32" x14ac:dyDescent="0.25">
      <c r="Q59" s="3"/>
      <c r="R59" s="5"/>
      <c r="S59" s="5"/>
      <c r="T59" s="5"/>
      <c r="U59" s="5"/>
      <c r="V59" s="5"/>
      <c r="W59" s="5"/>
      <c r="X59" s="27">
        <f t="shared" si="1"/>
        <v>0</v>
      </c>
      <c r="Y59" t="str">
        <f t="shared" si="16"/>
        <v>0d 0h 0m 0s</v>
      </c>
      <c r="AC59">
        <f t="shared" si="4"/>
        <v>0</v>
      </c>
      <c r="AD59">
        <f t="shared" si="5"/>
        <v>0</v>
      </c>
      <c r="AE59">
        <f t="shared" si="6"/>
        <v>0</v>
      </c>
      <c r="AF59" s="6">
        <f t="shared" si="7"/>
        <v>0</v>
      </c>
    </row>
    <row r="60" spans="12:32" x14ac:dyDescent="0.25">
      <c r="Q60" s="3"/>
      <c r="R60" s="5"/>
      <c r="S60" s="5"/>
      <c r="T60" s="5"/>
      <c r="U60" s="5"/>
      <c r="V60" s="5"/>
      <c r="W60" s="5"/>
      <c r="X60" s="27">
        <f t="shared" si="1"/>
        <v>0</v>
      </c>
      <c r="Y60" t="str">
        <f t="shared" si="16"/>
        <v>0d 0h 0m 0s</v>
      </c>
      <c r="AC60">
        <f t="shared" si="4"/>
        <v>0</v>
      </c>
      <c r="AD60">
        <f t="shared" si="5"/>
        <v>0</v>
      </c>
      <c r="AE60">
        <f t="shared" si="6"/>
        <v>0</v>
      </c>
      <c r="AF60" s="6">
        <f t="shared" si="7"/>
        <v>0</v>
      </c>
    </row>
    <row r="61" spans="12:32" x14ac:dyDescent="0.25">
      <c r="Q61" s="3"/>
      <c r="R61" s="5"/>
      <c r="S61" s="5"/>
      <c r="T61" s="5"/>
      <c r="U61" s="5"/>
      <c r="V61" s="5"/>
      <c r="W61" s="5"/>
      <c r="X61" s="27">
        <f t="shared" si="1"/>
        <v>0</v>
      </c>
      <c r="Y61" t="str">
        <f t="shared" si="16"/>
        <v>0d 0h 0m 0s</v>
      </c>
      <c r="AC61">
        <f t="shared" si="4"/>
        <v>0</v>
      </c>
      <c r="AD61">
        <f t="shared" si="5"/>
        <v>0</v>
      </c>
      <c r="AE61">
        <f t="shared" si="6"/>
        <v>0</v>
      </c>
      <c r="AF61" s="6">
        <f t="shared" si="7"/>
        <v>0</v>
      </c>
    </row>
    <row r="62" spans="12:32" x14ac:dyDescent="0.25">
      <c r="Q62" s="3"/>
      <c r="X62" s="27">
        <f t="shared" si="1"/>
        <v>0</v>
      </c>
      <c r="Y62" t="str">
        <f t="shared" si="16"/>
        <v>0d 0h 0m 0s</v>
      </c>
      <c r="AC62">
        <f t="shared" si="4"/>
        <v>0</v>
      </c>
      <c r="AD62">
        <f t="shared" si="5"/>
        <v>0</v>
      </c>
      <c r="AE62">
        <f t="shared" si="6"/>
        <v>0</v>
      </c>
      <c r="AF62" s="6">
        <f t="shared" si="7"/>
        <v>0</v>
      </c>
    </row>
    <row r="63" spans="12:32" x14ac:dyDescent="0.25">
      <c r="Q63" s="3"/>
      <c r="X63" s="27">
        <f t="shared" si="1"/>
        <v>0</v>
      </c>
      <c r="Y63" t="str">
        <f t="shared" si="16"/>
        <v>0d 0h 0m 0s</v>
      </c>
      <c r="AC63">
        <f t="shared" si="4"/>
        <v>0</v>
      </c>
      <c r="AD63">
        <f t="shared" si="5"/>
        <v>0</v>
      </c>
      <c r="AE63">
        <f t="shared" si="6"/>
        <v>0</v>
      </c>
      <c r="AF63" s="6">
        <f t="shared" si="7"/>
        <v>0</v>
      </c>
    </row>
    <row r="64" spans="12:32" x14ac:dyDescent="0.25">
      <c r="Q64" s="3"/>
      <c r="X64" s="27">
        <f t="shared" si="1"/>
        <v>0</v>
      </c>
      <c r="Y64" t="str">
        <f t="shared" si="16"/>
        <v>0d 0h 0m 0s</v>
      </c>
      <c r="AC64">
        <f t="shared" si="4"/>
        <v>0</v>
      </c>
      <c r="AD64">
        <f t="shared" si="5"/>
        <v>0</v>
      </c>
      <c r="AE64">
        <f t="shared" si="6"/>
        <v>0</v>
      </c>
      <c r="AF64" s="6">
        <f t="shared" si="7"/>
        <v>0</v>
      </c>
    </row>
    <row r="65" spans="17:32" x14ac:dyDescent="0.25">
      <c r="Q65" s="3"/>
      <c r="X65" s="27">
        <f t="shared" si="1"/>
        <v>0</v>
      </c>
      <c r="Y65" t="str">
        <f t="shared" si="16"/>
        <v>0d 0h 0m 0s</v>
      </c>
      <c r="AC65">
        <f t="shared" si="4"/>
        <v>0</v>
      </c>
      <c r="AD65">
        <f t="shared" si="5"/>
        <v>0</v>
      </c>
      <c r="AE65">
        <f t="shared" si="6"/>
        <v>0</v>
      </c>
      <c r="AF65" s="6">
        <f t="shared" si="7"/>
        <v>0</v>
      </c>
    </row>
    <row r="66" spans="17:32" x14ac:dyDescent="0.25">
      <c r="Q66" s="3"/>
      <c r="X66" s="27">
        <f t="shared" si="1"/>
        <v>0</v>
      </c>
      <c r="Y66" t="str">
        <f t="shared" si="16"/>
        <v>0d 0h 0m 0s</v>
      </c>
      <c r="AC66">
        <f t="shared" si="4"/>
        <v>0</v>
      </c>
      <c r="AD66">
        <f t="shared" si="5"/>
        <v>0</v>
      </c>
      <c r="AE66">
        <f t="shared" si="6"/>
        <v>0</v>
      </c>
      <c r="AF66" s="6">
        <f t="shared" si="7"/>
        <v>0</v>
      </c>
    </row>
    <row r="67" spans="17:32" x14ac:dyDescent="0.25">
      <c r="Q67" s="3"/>
      <c r="X67" s="27">
        <f t="shared" si="1"/>
        <v>0</v>
      </c>
      <c r="Y67" t="str">
        <f t="shared" si="16"/>
        <v>0d 0h 0m 0s</v>
      </c>
      <c r="AC67">
        <f t="shared" si="4"/>
        <v>0</v>
      </c>
      <c r="AD67">
        <f t="shared" si="5"/>
        <v>0</v>
      </c>
      <c r="AE67">
        <f t="shared" si="6"/>
        <v>0</v>
      </c>
      <c r="AF67" s="6">
        <f t="shared" si="7"/>
        <v>0</v>
      </c>
    </row>
    <row r="68" spans="17:32" x14ac:dyDescent="0.25">
      <c r="Q68" s="3"/>
      <c r="X68" s="27">
        <f t="shared" si="1"/>
        <v>0</v>
      </c>
      <c r="Y68" t="str">
        <f t="shared" si="16"/>
        <v>0d 0h 0m 0s</v>
      </c>
      <c r="AC68">
        <f t="shared" si="4"/>
        <v>0</v>
      </c>
      <c r="AD68">
        <f t="shared" si="5"/>
        <v>0</v>
      </c>
      <c r="AE68">
        <f t="shared" si="6"/>
        <v>0</v>
      </c>
      <c r="AF68" s="6">
        <f t="shared" si="7"/>
        <v>0</v>
      </c>
    </row>
    <row r="69" spans="17:32" x14ac:dyDescent="0.25">
      <c r="Q69" s="3"/>
      <c r="X69" s="27">
        <f t="shared" si="1"/>
        <v>0</v>
      </c>
      <c r="Y69" t="str">
        <f t="shared" si="16"/>
        <v>0d 0h 0m 0s</v>
      </c>
      <c r="AC69">
        <f t="shared" si="4"/>
        <v>0</v>
      </c>
      <c r="AD69">
        <f t="shared" si="5"/>
        <v>0</v>
      </c>
      <c r="AE69">
        <f t="shared" si="6"/>
        <v>0</v>
      </c>
      <c r="AF69" s="6">
        <f t="shared" si="7"/>
        <v>0</v>
      </c>
    </row>
    <row r="70" spans="17:32" x14ac:dyDescent="0.25">
      <c r="Q70" s="3"/>
      <c r="X70" s="27">
        <f t="shared" si="1"/>
        <v>0</v>
      </c>
      <c r="Y70" t="str">
        <f t="shared" si="16"/>
        <v>0d 0h 0m 0s</v>
      </c>
      <c r="AC70">
        <f t="shared" si="4"/>
        <v>0</v>
      </c>
      <c r="AD70">
        <f t="shared" si="5"/>
        <v>0</v>
      </c>
      <c r="AE70">
        <f t="shared" si="6"/>
        <v>0</v>
      </c>
      <c r="AF70" s="6">
        <f t="shared" si="7"/>
        <v>0</v>
      </c>
    </row>
    <row r="72" spans="17:32" x14ac:dyDescent="0.25">
      <c r="Q72" t="s">
        <v>57</v>
      </c>
      <c r="R72" s="4">
        <f t="shared" ref="R72:X72" si="20">SUMIFS(R23:R70,$Q23:$Q70,"y")</f>
        <v>447000000</v>
      </c>
      <c r="S72" s="4">
        <f t="shared" si="20"/>
        <v>447000000</v>
      </c>
      <c r="T72" s="4">
        <f t="shared" si="20"/>
        <v>91000000</v>
      </c>
      <c r="U72" s="4">
        <f t="shared" si="20"/>
        <v>23900000</v>
      </c>
      <c r="V72" s="5">
        <f t="shared" si="20"/>
        <v>132</v>
      </c>
      <c r="W72" s="5">
        <f t="shared" si="20"/>
        <v>74312</v>
      </c>
      <c r="X72" s="27">
        <f t="shared" si="20"/>
        <v>45257.003654080392</v>
      </c>
      <c r="Y72" t="str">
        <f>_xlfn.CONCAT(AC72,"d ",AD72,"h ",AE72,"m ",AF72,"s")</f>
        <v>31d 10h 17m 0s</v>
      </c>
      <c r="AC72">
        <f>ROUNDDOWN(X72/60/24,0)</f>
        <v>31</v>
      </c>
      <c r="AD72">
        <f>ROUNDDOWN((X72-60*24*AC72)/60,0)</f>
        <v>10</v>
      </c>
      <c r="AE72">
        <f>ROUNDDOWN((X72-AC72*24*60-AD72*60),0)</f>
        <v>17</v>
      </c>
      <c r="AF72" s="6">
        <f>ROUNDDOWN((X72-AC72*24*60-AD72*60-AE72)/60,0)</f>
        <v>0</v>
      </c>
    </row>
  </sheetData>
  <conditionalFormatting sqref="C42:G42">
    <cfRule type="iconSet" priority="1">
      <iconSet>
        <cfvo type="percent" val="0"/>
        <cfvo type="num" val="0" gte="0"/>
        <cfvo type="num" val="1000000" gte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E2FE-1AD3-4595-8EE2-8EFBB78375A9}">
  <dimension ref="A1:H33"/>
  <sheetViews>
    <sheetView workbookViewId="0">
      <selection activeCell="I27" sqref="I27"/>
    </sheetView>
  </sheetViews>
  <sheetFormatPr defaultRowHeight="15" x14ac:dyDescent="0.25"/>
  <cols>
    <col min="1" max="1" width="14" bestFit="1" customWidth="1"/>
    <col min="2" max="3" width="7.5703125" bestFit="1" customWidth="1"/>
    <col min="4" max="4" width="7.28515625" bestFit="1" customWidth="1"/>
    <col min="5" max="5" width="6" bestFit="1" customWidth="1"/>
    <col min="6" max="6" width="18.42578125" bestFit="1" customWidth="1"/>
    <col min="7" max="7" width="10.5703125" bestFit="1" customWidth="1"/>
    <col min="8" max="8" width="8.140625" bestFit="1" customWidth="1"/>
  </cols>
  <sheetData>
    <row r="1" spans="1:8" ht="15.75" x14ac:dyDescent="0.25">
      <c r="A1" s="29" t="s">
        <v>23</v>
      </c>
    </row>
    <row r="2" spans="1:8" x14ac:dyDescent="0.25">
      <c r="A2" s="1" t="s">
        <v>37</v>
      </c>
      <c r="B2" t="s">
        <v>0</v>
      </c>
      <c r="C2" t="s">
        <v>1</v>
      </c>
      <c r="D2" t="s">
        <v>2</v>
      </c>
      <c r="E2" t="s">
        <v>3</v>
      </c>
      <c r="F2" t="s">
        <v>38</v>
      </c>
      <c r="G2" t="s">
        <v>4</v>
      </c>
      <c r="H2" t="s">
        <v>39</v>
      </c>
    </row>
    <row r="3" spans="1:8" x14ac:dyDescent="0.25">
      <c r="A3" t="s">
        <v>41</v>
      </c>
      <c r="B3" s="5">
        <v>279</v>
      </c>
      <c r="C3" s="5">
        <v>209</v>
      </c>
      <c r="D3" s="5">
        <v>49</v>
      </c>
      <c r="E3" s="5">
        <v>10</v>
      </c>
      <c r="F3" s="15">
        <f>15/60</f>
        <v>0.25</v>
      </c>
      <c r="G3" s="16">
        <f>F3/(1+calc!$Q$18)</f>
        <v>4.6142488002953119E-2</v>
      </c>
      <c r="H3" s="17">
        <f>G3/24/60</f>
        <v>3.204339444649522E-5</v>
      </c>
    </row>
    <row r="4" spans="1:8" x14ac:dyDescent="0.25">
      <c r="A4" t="s">
        <v>42</v>
      </c>
      <c r="B4" s="5">
        <v>244</v>
      </c>
      <c r="C4" s="5">
        <v>230</v>
      </c>
      <c r="D4" s="5">
        <v>47</v>
      </c>
      <c r="E4" s="5">
        <v>11</v>
      </c>
      <c r="F4" s="15">
        <f>15/60</f>
        <v>0.25</v>
      </c>
      <c r="G4" s="16">
        <f>F4/(1+calc!$Q$18)</f>
        <v>4.6142488002953119E-2</v>
      </c>
      <c r="H4" s="17">
        <f>G4/24/60</f>
        <v>3.204339444649522E-5</v>
      </c>
    </row>
    <row r="5" spans="1:8" x14ac:dyDescent="0.25">
      <c r="A5" t="s">
        <v>43</v>
      </c>
      <c r="B5" s="5">
        <v>174</v>
      </c>
      <c r="C5" s="5">
        <v>258</v>
      </c>
      <c r="D5" s="5">
        <v>43</v>
      </c>
      <c r="E5" s="5">
        <v>14</v>
      </c>
      <c r="F5" s="15">
        <f>15/60</f>
        <v>0.25</v>
      </c>
      <c r="G5" s="16">
        <f>F5/(1+calc!$Q$18)</f>
        <v>4.6142488002953119E-2</v>
      </c>
      <c r="H5" s="17">
        <f>G5/24/60</f>
        <v>3.204339444649522E-5</v>
      </c>
    </row>
    <row r="6" spans="1:8" x14ac:dyDescent="0.25">
      <c r="A6" t="s">
        <v>44</v>
      </c>
      <c r="B6" s="5">
        <f>SUMPRODUCT(B3:B5,calc!$R$1:$R$3)</f>
        <v>240.5</v>
      </c>
      <c r="C6" s="5">
        <f>SUMPRODUCT(C3:C5,calc!$R$1:$R$3)</f>
        <v>227.89999999999998</v>
      </c>
      <c r="D6" s="5">
        <f>SUMPRODUCT(D3:D5,calc!$R$1:$R$3)</f>
        <v>46.8</v>
      </c>
      <c r="E6" s="5">
        <f>SUMPRODUCT(E3:E5,calc!$R$1:$R$3)</f>
        <v>11.4</v>
      </c>
      <c r="F6" s="15">
        <f>SUMPRODUCT(F3:F5,calc!$R$1:$R$3)</f>
        <v>0.25</v>
      </c>
      <c r="G6" s="16">
        <f>F6/calc!$Q$18</f>
        <v>5.6586690810321409E-2</v>
      </c>
    </row>
    <row r="8" spans="1:8" x14ac:dyDescent="0.25">
      <c r="A8" s="1" t="s">
        <v>47</v>
      </c>
      <c r="B8" t="s">
        <v>0</v>
      </c>
      <c r="C8" t="s">
        <v>1</v>
      </c>
      <c r="D8" t="s">
        <v>2</v>
      </c>
      <c r="E8" t="s">
        <v>3</v>
      </c>
      <c r="F8" t="s">
        <v>38</v>
      </c>
      <c r="G8" t="s">
        <v>4</v>
      </c>
      <c r="H8" t="s">
        <v>39</v>
      </c>
    </row>
    <row r="9" spans="1:8" x14ac:dyDescent="0.25">
      <c r="A9" t="s">
        <v>41</v>
      </c>
      <c r="B9" s="18">
        <v>139</v>
      </c>
      <c r="C9" s="18">
        <v>105</v>
      </c>
      <c r="D9" s="18">
        <v>24</v>
      </c>
      <c r="E9" s="18">
        <v>5</v>
      </c>
      <c r="F9" s="19">
        <f>(21+40/60)/100</f>
        <v>0.21666666666666667</v>
      </c>
      <c r="G9" s="20">
        <f>F9/(1+calc!$Q$18)</f>
        <v>3.9990156269226036E-2</v>
      </c>
      <c r="H9" s="17">
        <f>G9/24/60</f>
        <v>2.7770941853629193E-5</v>
      </c>
    </row>
    <row r="10" spans="1:8" x14ac:dyDescent="0.25">
      <c r="A10" t="s">
        <v>42</v>
      </c>
      <c r="B10" s="18">
        <v>122</v>
      </c>
      <c r="C10" s="18">
        <v>115</v>
      </c>
      <c r="D10" s="18">
        <v>24</v>
      </c>
      <c r="E10" s="18">
        <v>6</v>
      </c>
      <c r="F10" s="19">
        <f>(21+40/60)/100</f>
        <v>0.21666666666666667</v>
      </c>
      <c r="G10" s="20">
        <f>F10/(1+calc!$Q$18)</f>
        <v>3.9990156269226036E-2</v>
      </c>
      <c r="H10" s="17">
        <f>G10/24/60</f>
        <v>2.7770941853629193E-5</v>
      </c>
    </row>
    <row r="11" spans="1:8" x14ac:dyDescent="0.25">
      <c r="A11" t="s">
        <v>43</v>
      </c>
      <c r="B11" s="18">
        <v>87</v>
      </c>
      <c r="C11" s="18">
        <v>129</v>
      </c>
      <c r="D11" s="18">
        <v>22</v>
      </c>
      <c r="E11" s="18">
        <v>7</v>
      </c>
      <c r="F11" s="19">
        <f>(21+40/60)/100</f>
        <v>0.21666666666666667</v>
      </c>
      <c r="G11" s="20">
        <f>F11/(1+calc!$Q$18)</f>
        <v>3.9990156269226036E-2</v>
      </c>
      <c r="H11" s="17">
        <f>G11/24/60</f>
        <v>2.7770941853629193E-5</v>
      </c>
    </row>
    <row r="12" spans="1:8" x14ac:dyDescent="0.25">
      <c r="A12" t="s">
        <v>52</v>
      </c>
      <c r="B12" s="18">
        <f>SUMPRODUCT(B9:B11,calc!$R$1:$R$3)</f>
        <v>120</v>
      </c>
      <c r="C12" s="18">
        <f>SUMPRODUCT(C9:C11,calc!$R$1:$R$3)</f>
        <v>114.19999999999999</v>
      </c>
      <c r="D12" s="18">
        <f>SUMPRODUCT(D9:D11,calc!$R$1:$R$3)</f>
        <v>23.4</v>
      </c>
      <c r="E12" s="18">
        <f>SUMPRODUCT(E9:E11,calc!$R$1:$R$3)</f>
        <v>5.8000000000000007</v>
      </c>
      <c r="F12" s="21">
        <f>SUMPRODUCT(F9:F11,calc!$R$1:$R$3)</f>
        <v>0.21666666666666667</v>
      </c>
      <c r="G12" s="22">
        <f>SUMPRODUCT(G9:G11,calc!$R$1:$R$3)</f>
        <v>3.9990156269226036E-2</v>
      </c>
    </row>
    <row r="13" spans="1:8" x14ac:dyDescent="0.25">
      <c r="B13" s="5">
        <f t="shared" ref="B13:G13" si="0">SUMPRODUCT(B9:B11,$H9:$H11)</f>
        <v>9.6642877650629597E-3</v>
      </c>
      <c r="C13" s="5">
        <f t="shared" si="0"/>
        <v>9.6920587069165877E-3</v>
      </c>
      <c r="D13" s="5">
        <f t="shared" si="0"/>
        <v>1.9439659297540435E-3</v>
      </c>
      <c r="E13" s="5">
        <f t="shared" si="0"/>
        <v>4.998769533653255E-4</v>
      </c>
      <c r="F13" s="5">
        <f t="shared" si="0"/>
        <v>1.8051112204858977E-5</v>
      </c>
      <c r="G13" s="5">
        <f t="shared" si="0"/>
        <v>3.3316929134106634E-6</v>
      </c>
    </row>
    <row r="15" spans="1:8" ht="15.75" x14ac:dyDescent="0.25">
      <c r="A15" s="29" t="s">
        <v>56</v>
      </c>
    </row>
    <row r="16" spans="1:8" x14ac:dyDescent="0.25">
      <c r="A16" s="1" t="s">
        <v>37</v>
      </c>
      <c r="B16" s="5" t="s">
        <v>0</v>
      </c>
      <c r="C16" s="5" t="s">
        <v>1</v>
      </c>
      <c r="D16" s="5" t="s">
        <v>2</v>
      </c>
      <c r="E16" s="5" t="s">
        <v>3</v>
      </c>
      <c r="F16" t="s">
        <v>38</v>
      </c>
      <c r="G16" s="31" t="s">
        <v>4</v>
      </c>
      <c r="H16" t="s">
        <v>39</v>
      </c>
    </row>
    <row r="17" spans="1:8" x14ac:dyDescent="0.25">
      <c r="A17" t="s">
        <v>41</v>
      </c>
      <c r="B17" s="18">
        <v>2788</v>
      </c>
      <c r="C17" s="18">
        <v>2091</v>
      </c>
      <c r="D17" s="18">
        <v>488</v>
      </c>
      <c r="E17" s="18">
        <v>102</v>
      </c>
      <c r="F17" s="21">
        <f>2+32/60</f>
        <v>2.5333333333333332</v>
      </c>
      <c r="G17" s="30">
        <f>F17/(1+calc!Q$19)</f>
        <v>0.86138501643431942</v>
      </c>
      <c r="H17" s="17">
        <f>G17/24/60</f>
        <v>5.9818403919049956E-4</v>
      </c>
    </row>
    <row r="18" spans="1:8" x14ac:dyDescent="0.25">
      <c r="A18" t="s">
        <v>42</v>
      </c>
      <c r="B18" s="18">
        <v>2440</v>
      </c>
      <c r="C18" s="18">
        <v>2301</v>
      </c>
      <c r="D18" s="18">
        <v>474</v>
      </c>
      <c r="E18" s="18">
        <v>109</v>
      </c>
      <c r="F18" s="21">
        <f>2+32/60</f>
        <v>2.5333333333333332</v>
      </c>
      <c r="G18" s="30">
        <f>F18/(1+calc!Q$19)</f>
        <v>0.86138501643431942</v>
      </c>
      <c r="H18" s="17">
        <f>G18/24/60</f>
        <v>5.9818403919049956E-4</v>
      </c>
    </row>
    <row r="19" spans="1:8" x14ac:dyDescent="0.25">
      <c r="A19" t="s">
        <v>43</v>
      </c>
      <c r="B19" s="23">
        <f t="shared" ref="B17:F19" si="1">B25*1.1</f>
        <v>959.2</v>
      </c>
      <c r="C19" s="23">
        <f t="shared" si="1"/>
        <v>1419.0000000000002</v>
      </c>
      <c r="D19" s="23">
        <f t="shared" si="1"/>
        <v>238.70000000000002</v>
      </c>
      <c r="E19" s="23">
        <f t="shared" si="1"/>
        <v>77</v>
      </c>
      <c r="F19" s="21">
        <f>2+32/60</f>
        <v>2.5333333333333332</v>
      </c>
      <c r="G19" s="30">
        <f>F19/(1+calc!Q$19)</f>
        <v>0.86138501643431942</v>
      </c>
      <c r="H19" s="17">
        <f>G19/24/60</f>
        <v>5.9818403919049956E-4</v>
      </c>
    </row>
    <row r="20" spans="1:8" x14ac:dyDescent="0.25">
      <c r="A20" t="s">
        <v>52</v>
      </c>
      <c r="B20" s="5">
        <f>SUMPRODUCT(B17:B19,calc!$R$1:$R$3)</f>
        <v>2169.7600000000002</v>
      </c>
      <c r="C20" s="5">
        <f>SUMPRODUCT(C17:C19,calc!$R$1:$R$3)</f>
        <v>1931.4</v>
      </c>
      <c r="D20" s="5">
        <f>SUMPRODUCT(D17:D19,calc!$R$1:$R$3)</f>
        <v>410.41</v>
      </c>
      <c r="E20" s="5">
        <f>SUMPRODUCT(E17:E19,calc!$R$1:$R$3)</f>
        <v>95.899999999999991</v>
      </c>
      <c r="F20" s="15"/>
      <c r="G20" s="31"/>
    </row>
    <row r="21" spans="1:8" x14ac:dyDescent="0.25">
      <c r="B21" s="5"/>
      <c r="C21" s="5"/>
      <c r="D21" s="5"/>
      <c r="E21" s="5"/>
      <c r="G21" s="31"/>
    </row>
    <row r="22" spans="1:8" x14ac:dyDescent="0.25">
      <c r="A22" s="1" t="s">
        <v>47</v>
      </c>
      <c r="B22" s="5" t="s">
        <v>0</v>
      </c>
      <c r="C22" s="5" t="s">
        <v>1</v>
      </c>
      <c r="D22" s="5" t="s">
        <v>2</v>
      </c>
      <c r="E22" s="5" t="s">
        <v>3</v>
      </c>
      <c r="F22" t="s">
        <v>38</v>
      </c>
      <c r="G22" s="31" t="s">
        <v>4</v>
      </c>
      <c r="H22" t="s">
        <v>39</v>
      </c>
    </row>
    <row r="23" spans="1:8" x14ac:dyDescent="0.25">
      <c r="A23" t="s">
        <v>41</v>
      </c>
      <c r="B23" s="18">
        <v>1394</v>
      </c>
      <c r="C23" s="18">
        <v>1046</v>
      </c>
      <c r="D23" s="18">
        <v>244</v>
      </c>
      <c r="E23" s="18">
        <v>51</v>
      </c>
      <c r="F23" s="21">
        <f>2+11/60</f>
        <v>2.1833333333333331</v>
      </c>
      <c r="G23" s="30">
        <f>F23/(1+calc!Q$19)</f>
        <v>0.74237787600589367</v>
      </c>
      <c r="H23" s="17">
        <f>G23/24/60</f>
        <v>5.1554019167075955E-4</v>
      </c>
    </row>
    <row r="24" spans="1:8" x14ac:dyDescent="0.25">
      <c r="A24" t="s">
        <v>42</v>
      </c>
      <c r="B24" s="18">
        <v>1220</v>
      </c>
      <c r="C24" s="18">
        <v>1151</v>
      </c>
      <c r="D24" s="18">
        <v>237</v>
      </c>
      <c r="E24" s="18">
        <v>55</v>
      </c>
      <c r="F24" s="21">
        <f>2+11/60</f>
        <v>2.1833333333333331</v>
      </c>
      <c r="G24" s="30">
        <f>F24/(1+calc!Q$19)</f>
        <v>0.74237787600589367</v>
      </c>
      <c r="H24" s="17">
        <f>G24/24/60</f>
        <v>5.1554019167075955E-4</v>
      </c>
    </row>
    <row r="25" spans="1:8" x14ac:dyDescent="0.25">
      <c r="A25" t="s">
        <v>43</v>
      </c>
      <c r="B25" s="18">
        <v>872</v>
      </c>
      <c r="C25" s="18">
        <v>1290</v>
      </c>
      <c r="D25" s="18">
        <v>217</v>
      </c>
      <c r="E25" s="18">
        <v>70</v>
      </c>
      <c r="F25" s="21">
        <f>2+11/60</f>
        <v>2.1833333333333331</v>
      </c>
      <c r="G25" s="30">
        <f>F25/(1+calc!Q$19)</f>
        <v>0.74237787600589367</v>
      </c>
      <c r="H25" s="17">
        <f>G25/24/60</f>
        <v>5.1554019167075955E-4</v>
      </c>
    </row>
    <row r="26" spans="1:8" x14ac:dyDescent="0.25">
      <c r="A26" t="s">
        <v>52</v>
      </c>
      <c r="B26" s="5">
        <f>SUMPRODUCT(B23:B25,calc!$R$1:$R$3)</f>
        <v>1202.5999999999999</v>
      </c>
      <c r="C26" s="5">
        <f>SUMPRODUCT(C23:C25,calc!$R$1:$R$3)</f>
        <v>1140.2</v>
      </c>
      <c r="D26" s="5">
        <f>SUMPRODUCT(D23:D25,calc!$R$1:$R$3)</f>
        <v>234.5</v>
      </c>
      <c r="E26" s="5">
        <f>SUMPRODUCT(E23:E25,calc!$R$1:$R$3)</f>
        <v>57.5</v>
      </c>
      <c r="F26" s="15"/>
      <c r="G26" s="31"/>
    </row>
    <row r="27" spans="1:8" x14ac:dyDescent="0.25">
      <c r="G27" s="31"/>
    </row>
    <row r="28" spans="1:8" ht="15.75" x14ac:dyDescent="0.25">
      <c r="A28" s="29" t="s">
        <v>65</v>
      </c>
      <c r="G28" s="31"/>
    </row>
    <row r="29" spans="1:8" x14ac:dyDescent="0.25">
      <c r="A29" s="1" t="s">
        <v>67</v>
      </c>
      <c r="B29" s="5" t="s">
        <v>0</v>
      </c>
      <c r="C29" s="5" t="s">
        <v>1</v>
      </c>
      <c r="D29" s="5" t="s">
        <v>2</v>
      </c>
      <c r="E29" s="5" t="s">
        <v>3</v>
      </c>
      <c r="F29" t="s">
        <v>38</v>
      </c>
      <c r="G29" s="31" t="s">
        <v>4</v>
      </c>
      <c r="H29" t="s">
        <v>39</v>
      </c>
    </row>
    <row r="30" spans="1:8" x14ac:dyDescent="0.25">
      <c r="A30" t="s">
        <v>41</v>
      </c>
      <c r="B30" s="18">
        <v>1394</v>
      </c>
      <c r="C30" s="18">
        <v>1045</v>
      </c>
      <c r="D30" s="18">
        <v>244</v>
      </c>
      <c r="E30" s="18">
        <v>51</v>
      </c>
      <c r="F30" s="21">
        <v>0.34938150000000001</v>
      </c>
      <c r="G30" s="30">
        <f>F30/(1+calc!Q$19)</f>
        <v>0.11879683781026863</v>
      </c>
      <c r="H30" s="17">
        <f>G30/24/60</f>
        <v>8.2497804034908768E-5</v>
      </c>
    </row>
    <row r="31" spans="1:8" x14ac:dyDescent="0.25">
      <c r="A31" t="s">
        <v>42</v>
      </c>
      <c r="B31" s="18">
        <v>1220</v>
      </c>
      <c r="C31" s="18">
        <v>1150</v>
      </c>
      <c r="D31" s="18">
        <v>237</v>
      </c>
      <c r="E31" s="18">
        <v>54</v>
      </c>
      <c r="F31" s="21">
        <v>0.34938150000000001</v>
      </c>
      <c r="G31" s="30">
        <f>F31/(1+calc!Q$19)</f>
        <v>0.11879683781026863</v>
      </c>
      <c r="H31" s="17">
        <f>G31/24/60</f>
        <v>8.2497804034908768E-5</v>
      </c>
    </row>
    <row r="32" spans="1:8" x14ac:dyDescent="0.25">
      <c r="A32" t="s">
        <v>43</v>
      </c>
      <c r="B32" s="18">
        <v>871</v>
      </c>
      <c r="C32" s="18">
        <v>1289</v>
      </c>
      <c r="D32" s="18">
        <v>216</v>
      </c>
      <c r="E32" s="18">
        <v>70</v>
      </c>
      <c r="F32" s="21">
        <v>0.34938150000000001</v>
      </c>
      <c r="G32" s="30">
        <f>F32/(1+calc!Q$19)</f>
        <v>0.11879683781026863</v>
      </c>
      <c r="H32" s="17">
        <f>G32/24/60</f>
        <v>8.2497804034908768E-5</v>
      </c>
    </row>
    <row r="33" spans="1:7" x14ac:dyDescent="0.25">
      <c r="A33" t="s">
        <v>52</v>
      </c>
      <c r="B33" s="5">
        <f>SUMPRODUCT(B30:B32,calc!$R$1:$R$3)</f>
        <v>1202.3</v>
      </c>
      <c r="C33" s="5">
        <f>SUMPRODUCT(C30:C32,calc!$R$1:$R$3)</f>
        <v>1139.2</v>
      </c>
      <c r="D33" s="5">
        <f>SUMPRODUCT(D30:D32,calc!$R$1:$R$3)</f>
        <v>234.2</v>
      </c>
      <c r="E33" s="5">
        <f>SUMPRODUCT(E30:E32,calc!$R$1:$R$3)</f>
        <v>57.3</v>
      </c>
      <c r="F33" s="15"/>
      <c r="G3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Vitale</dc:creator>
  <cp:lastModifiedBy>Giorgio Vitale</cp:lastModifiedBy>
  <dcterms:created xsi:type="dcterms:W3CDTF">2026-01-25T12:01:57Z</dcterms:created>
  <dcterms:modified xsi:type="dcterms:W3CDTF">2026-01-25T21:00:02Z</dcterms:modified>
</cp:coreProperties>
</file>