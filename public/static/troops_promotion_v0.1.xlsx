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\projects\kingshot\public\static\"/>
    </mc:Choice>
  </mc:AlternateContent>
  <xr:revisionPtr revIDLastSave="0" documentId="8_{CCBCEE93-2C6E-423F-B16D-0DEFD9857AAF}" xr6:coauthVersionLast="47" xr6:coauthVersionMax="47" xr10:uidLastSave="{00000000-0000-0000-0000-000000000000}"/>
  <bookViews>
    <workbookView xWindow="-120" yWindow="-120" windowWidth="38640" windowHeight="21120" xr2:uid="{7DF81001-7936-4C53-859E-E064F9301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5" i="1"/>
  <c r="R7" i="1"/>
  <c r="K6" i="1"/>
  <c r="Q6" i="1" s="1"/>
  <c r="K5" i="1"/>
  <c r="Q5" i="1" s="1"/>
  <c r="K3" i="1"/>
  <c r="Q3" i="1" s="1"/>
  <c r="R3" i="1" s="1"/>
  <c r="P5" i="1"/>
  <c r="O5" i="1"/>
  <c r="N5" i="1"/>
  <c r="N7" i="1" s="1"/>
  <c r="M5" i="1"/>
  <c r="M7" i="1" s="1"/>
  <c r="F5" i="1"/>
  <c r="L5" i="1" s="1"/>
  <c r="L7" i="1" s="1"/>
  <c r="P6" i="1"/>
  <c r="O6" i="1"/>
  <c r="N6" i="1"/>
  <c r="M6" i="1"/>
  <c r="P3" i="1"/>
  <c r="O3" i="1"/>
  <c r="N3" i="1"/>
  <c r="M3" i="1"/>
  <c r="F6" i="1"/>
  <c r="L6" i="1" s="1"/>
  <c r="F3" i="1"/>
  <c r="L3" i="1" s="1"/>
  <c r="Q7" i="1" l="1"/>
  <c r="O7" i="1"/>
  <c r="P7" i="1"/>
</calcChain>
</file>

<file path=xl/sharedStrings.xml><?xml version="1.0" encoding="utf-8"?>
<sst xmlns="http://schemas.openxmlformats.org/spreadsheetml/2006/main" count="24" uniqueCount="18">
  <si>
    <t>Train 1 troop</t>
  </si>
  <si>
    <t>Level</t>
  </si>
  <si>
    <t>Troops</t>
  </si>
  <si>
    <t>Hours</t>
  </si>
  <si>
    <t>Minutes</t>
  </si>
  <si>
    <t>Min</t>
  </si>
  <si>
    <t>Sec</t>
  </si>
  <si>
    <t>Bread</t>
  </si>
  <si>
    <t>Wood</t>
  </si>
  <si>
    <t>Stone</t>
  </si>
  <si>
    <t>Iron</t>
  </si>
  <si>
    <t>Per unit</t>
  </si>
  <si>
    <t>Promoting 8 -&gt; 9</t>
  </si>
  <si>
    <t>Training 9</t>
  </si>
  <si>
    <t>Training 8</t>
  </si>
  <si>
    <t>Points</t>
  </si>
  <si>
    <t>Total</t>
  </si>
  <si>
    <t>Points /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</si>
</sst>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_-;\-* #,##0.000_-;_-* &quot;-&quot;??_-;_-@_-"/>
    <numFmt numFmtId="166" formatCode="_-* #,##0.0_-;\-* #,##0.0_-;_-* &quot;-&quot;??_-;_-@_-"/>
    <numFmt numFmtId="167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3" xfId="0" applyBorder="1"/>
    <xf numFmtId="0" fontId="0" fillId="0" borderId="0" xfId="0" applyBorder="1"/>
    <xf numFmtId="166" fontId="0" fillId="0" borderId="0" xfId="1" applyNumberFormat="1" applyFont="1" applyBorder="1"/>
    <xf numFmtId="167" fontId="0" fillId="0" borderId="0" xfId="1" applyNumberFormat="1" applyFont="1" applyBorder="1"/>
    <xf numFmtId="167" fontId="0" fillId="0" borderId="6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8" xfId="1" applyNumberFormat="1" applyFont="1" applyBorder="1"/>
    <xf numFmtId="167" fontId="0" fillId="0" borderId="8" xfId="1" applyNumberFormat="1" applyFont="1" applyBorder="1"/>
    <xf numFmtId="167" fontId="0" fillId="0" borderId="9" xfId="1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5" xfId="0" applyBorder="1"/>
    <xf numFmtId="0" fontId="2" fillId="0" borderId="15" xfId="0" applyFont="1" applyBorder="1"/>
    <xf numFmtId="0" fontId="2" fillId="0" borderId="14" xfId="0" applyFont="1" applyBorder="1" applyAlignment="1"/>
    <xf numFmtId="164" fontId="2" fillId="0" borderId="2" xfId="1" applyNumberFormat="1" applyFont="1" applyBorder="1"/>
    <xf numFmtId="166" fontId="2" fillId="0" borderId="3" xfId="1" applyNumberFormat="1" applyFont="1" applyBorder="1"/>
    <xf numFmtId="166" fontId="2" fillId="0" borderId="4" xfId="1" applyNumberFormat="1" applyFont="1" applyBorder="1"/>
    <xf numFmtId="164" fontId="0" fillId="0" borderId="5" xfId="1" applyNumberFormat="1" applyFont="1" applyBorder="1"/>
    <xf numFmtId="166" fontId="0" fillId="0" borderId="6" xfId="1" applyNumberFormat="1" applyFont="1" applyBorder="1"/>
    <xf numFmtId="164" fontId="0" fillId="0" borderId="7" xfId="1" applyNumberFormat="1" applyFont="1" applyBorder="1"/>
    <xf numFmtId="166" fontId="0" fillId="0" borderId="9" xfId="1" applyNumberFormat="1" applyFont="1" applyBorder="1"/>
    <xf numFmtId="166" fontId="0" fillId="0" borderId="3" xfId="1" applyNumberFormat="1" applyFont="1" applyBorder="1"/>
    <xf numFmtId="167" fontId="0" fillId="0" borderId="3" xfId="1" applyNumberFormat="1" applyFont="1" applyBorder="1"/>
    <xf numFmtId="167" fontId="0" fillId="0" borderId="4" xfId="1" applyNumberFormat="1" applyFont="1" applyBorder="1"/>
    <xf numFmtId="164" fontId="0" fillId="0" borderId="2" xfId="1" applyNumberFormat="1" applyFont="1" applyBorder="1"/>
    <xf numFmtId="166" fontId="0" fillId="0" borderId="4" xfId="1" applyNumberFormat="1" applyFont="1" applyBorder="1"/>
    <xf numFmtId="164" fontId="2" fillId="0" borderId="8" xfId="1" applyNumberFormat="1" applyFont="1" applyBorder="1"/>
    <xf numFmtId="166" fontId="2" fillId="0" borderId="8" xfId="1" applyNumberFormat="1" applyFont="1" applyBorder="1"/>
    <xf numFmtId="166" fontId="2" fillId="0" borderId="9" xfId="1" applyNumberFormat="1" applyFont="1" applyBorder="1"/>
    <xf numFmtId="0" fontId="2" fillId="0" borderId="0" xfId="0" applyFont="1" applyFill="1" applyBorder="1"/>
    <xf numFmtId="166" fontId="2" fillId="0" borderId="0" xfId="1" applyNumberFormat="1" applyFont="1" applyFill="1" applyBorder="1"/>
    <xf numFmtId="166" fontId="2" fillId="0" borderId="11" xfId="1" applyNumberFormat="1" applyFont="1" applyFill="1" applyBorder="1"/>
    <xf numFmtId="166" fontId="2" fillId="0" borderId="12" xfId="1" applyNumberFormat="1" applyFont="1" applyFill="1" applyBorder="1"/>
    <xf numFmtId="0" fontId="2" fillId="0" borderId="1" xfId="0" applyFont="1" applyFill="1" applyBorder="1"/>
    <xf numFmtId="166" fontId="2" fillId="0" borderId="10" xfId="1" applyNumberFormat="1" applyFont="1" applyFill="1" applyBorder="1"/>
    <xf numFmtId="166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914C-AB1D-4AD6-A573-489BF6CD7419}">
  <dimension ref="A1:U11"/>
  <sheetViews>
    <sheetView tabSelected="1" workbookViewId="0">
      <selection activeCell="R22" sqref="R22"/>
    </sheetView>
  </sheetViews>
  <sheetFormatPr defaultRowHeight="15" x14ac:dyDescent="0.25"/>
  <cols>
    <col min="1" max="1" width="15.28515625" bestFit="1" customWidth="1"/>
    <col min="2" max="2" width="7.140625" bestFit="1" customWidth="1"/>
    <col min="3" max="3" width="6.28515625" bestFit="1" customWidth="1"/>
    <col min="4" max="4" width="4.28515625" bestFit="1" customWidth="1"/>
    <col min="5" max="5" width="4" bestFit="1" customWidth="1"/>
    <col min="6" max="6" width="8" bestFit="1" customWidth="1"/>
    <col min="7" max="8" width="10.5703125" bestFit="1" customWidth="1"/>
    <col min="9" max="10" width="9" bestFit="1" customWidth="1"/>
    <col min="11" max="11" width="9" customWidth="1"/>
    <col min="12" max="12" width="8" bestFit="1" customWidth="1"/>
    <col min="13" max="13" width="7" bestFit="1" customWidth="1"/>
    <col min="14" max="14" width="8.5703125" bestFit="1" customWidth="1"/>
    <col min="15" max="15" width="7" bestFit="1" customWidth="1"/>
    <col min="16" max="16" width="6" bestFit="1" customWidth="1"/>
    <col min="17" max="17" width="6.5703125" bestFit="1" customWidth="1"/>
    <col min="18" max="18" width="14.7109375" bestFit="1" customWidth="1"/>
  </cols>
  <sheetData>
    <row r="1" spans="1:21" x14ac:dyDescent="0.25">
      <c r="B1" s="20" t="s">
        <v>16</v>
      </c>
      <c r="C1" s="21"/>
      <c r="D1" s="21"/>
      <c r="E1" s="21"/>
      <c r="F1" s="21"/>
      <c r="G1" s="21"/>
      <c r="H1" s="21"/>
      <c r="I1" s="21"/>
      <c r="J1" s="21"/>
      <c r="K1" s="22"/>
      <c r="L1" s="17" t="s">
        <v>11</v>
      </c>
      <c r="M1" s="18"/>
      <c r="N1" s="18"/>
      <c r="O1" s="18"/>
      <c r="P1" s="18"/>
      <c r="Q1" s="18"/>
      <c r="R1" s="19"/>
      <c r="T1" t="s">
        <v>1</v>
      </c>
      <c r="U1" t="s">
        <v>0</v>
      </c>
    </row>
    <row r="2" spans="1:21" x14ac:dyDescent="0.25">
      <c r="A2" s="23"/>
      <c r="B2" s="24" t="s">
        <v>2</v>
      </c>
      <c r="C2" s="15" t="s">
        <v>3</v>
      </c>
      <c r="D2" s="15" t="s">
        <v>5</v>
      </c>
      <c r="E2" s="15" t="s">
        <v>6</v>
      </c>
      <c r="F2" s="15" t="s">
        <v>4</v>
      </c>
      <c r="G2" s="15" t="s">
        <v>7</v>
      </c>
      <c r="H2" s="15" t="s">
        <v>8</v>
      </c>
      <c r="I2" s="15" t="s">
        <v>9</v>
      </c>
      <c r="J2" s="15" t="s">
        <v>10</v>
      </c>
      <c r="K2" s="25" t="s">
        <v>15</v>
      </c>
      <c r="L2" s="15" t="s">
        <v>4</v>
      </c>
      <c r="M2" s="15" t="s">
        <v>7</v>
      </c>
      <c r="N2" s="15" t="s">
        <v>8</v>
      </c>
      <c r="O2" s="15" t="s">
        <v>9</v>
      </c>
      <c r="P2" s="15" t="s">
        <v>10</v>
      </c>
      <c r="Q2" s="16" t="s">
        <v>15</v>
      </c>
      <c r="R2" s="45" t="s">
        <v>17</v>
      </c>
      <c r="S2" s="41"/>
      <c r="T2">
        <v>1</v>
      </c>
      <c r="U2">
        <v>3</v>
      </c>
    </row>
    <row r="3" spans="1:21" x14ac:dyDescent="0.25">
      <c r="A3" s="13" t="s">
        <v>13</v>
      </c>
      <c r="B3" s="2">
        <v>708</v>
      </c>
      <c r="C3" s="2">
        <v>8</v>
      </c>
      <c r="D3" s="2">
        <v>56</v>
      </c>
      <c r="E3" s="2">
        <v>44</v>
      </c>
      <c r="F3" s="3">
        <f>E3/60+D3+C3*60</f>
        <v>536.73333333333335</v>
      </c>
      <c r="G3" s="4">
        <v>617376</v>
      </c>
      <c r="H3" s="4">
        <v>913320</v>
      </c>
      <c r="I3" s="4">
        <v>153636</v>
      </c>
      <c r="J3" s="4">
        <v>49560</v>
      </c>
      <c r="K3" s="5">
        <f>B3*U10</f>
        <v>31860</v>
      </c>
      <c r="L3" s="26">
        <f>F3/$B3</f>
        <v>0.75809792843691148</v>
      </c>
      <c r="M3" s="27">
        <f t="shared" ref="M3:P3" si="0">G3/$B3</f>
        <v>872</v>
      </c>
      <c r="N3" s="27">
        <f t="shared" si="0"/>
        <v>1290</v>
      </c>
      <c r="O3" s="27">
        <f t="shared" si="0"/>
        <v>217</v>
      </c>
      <c r="P3" s="27">
        <f t="shared" si="0"/>
        <v>70</v>
      </c>
      <c r="Q3" s="28">
        <f t="shared" ref="Q3:Q5" si="1">K3/B3</f>
        <v>45</v>
      </c>
      <c r="R3" s="46">
        <f>Q3/L3</f>
        <v>59.359085827847473</v>
      </c>
      <c r="S3" s="42"/>
      <c r="T3">
        <v>2</v>
      </c>
      <c r="U3">
        <v>4</v>
      </c>
    </row>
    <row r="4" spans="1:21" x14ac:dyDescent="0.25">
      <c r="A4" s="13"/>
      <c r="B4" s="2"/>
      <c r="C4" s="2"/>
      <c r="D4" s="2"/>
      <c r="E4" s="2"/>
      <c r="F4" s="3"/>
      <c r="G4" s="2"/>
      <c r="H4" s="2"/>
      <c r="I4" s="2"/>
      <c r="J4" s="2"/>
      <c r="K4" s="6"/>
      <c r="L4" s="29"/>
      <c r="M4" s="3"/>
      <c r="N4" s="3"/>
      <c r="O4" s="3"/>
      <c r="P4" s="3"/>
      <c r="Q4" s="30"/>
      <c r="R4" s="14"/>
      <c r="T4">
        <v>3</v>
      </c>
      <c r="U4">
        <v>5</v>
      </c>
    </row>
    <row r="5" spans="1:21" x14ac:dyDescent="0.25">
      <c r="A5" s="12" t="s">
        <v>14</v>
      </c>
      <c r="B5" s="1">
        <v>708</v>
      </c>
      <c r="C5" s="1">
        <v>7</v>
      </c>
      <c r="D5" s="1">
        <v>42</v>
      </c>
      <c r="E5" s="1">
        <v>59</v>
      </c>
      <c r="F5" s="33">
        <f>E5/60+D5+C5*60</f>
        <v>462.98333333333335</v>
      </c>
      <c r="G5" s="34">
        <v>247092</v>
      </c>
      <c r="H5" s="34">
        <v>365328</v>
      </c>
      <c r="I5" s="34">
        <v>615596</v>
      </c>
      <c r="J5" s="34">
        <v>19824</v>
      </c>
      <c r="K5" s="35">
        <f>B5*U9</f>
        <v>24780</v>
      </c>
      <c r="L5" s="36">
        <f>F5/$B5</f>
        <v>0.65393126177024485</v>
      </c>
      <c r="M5" s="33">
        <f>G5/$B5</f>
        <v>349</v>
      </c>
      <c r="N5" s="33">
        <f>H5/$B5</f>
        <v>516</v>
      </c>
      <c r="O5" s="33">
        <f>I5/$B5</f>
        <v>869.48587570621464</v>
      </c>
      <c r="P5" s="33">
        <f>J5/$B5</f>
        <v>28</v>
      </c>
      <c r="Q5" s="37">
        <f>K5/B5</f>
        <v>35</v>
      </c>
      <c r="R5" s="43">
        <f t="shared" ref="R5:R6" si="2">Q5/L5</f>
        <v>53.522445012419453</v>
      </c>
      <c r="S5" s="42"/>
      <c r="T5">
        <v>4</v>
      </c>
      <c r="U5">
        <v>8</v>
      </c>
    </row>
    <row r="6" spans="1:21" x14ac:dyDescent="0.25">
      <c r="A6" s="14" t="s">
        <v>12</v>
      </c>
      <c r="B6" s="8">
        <v>5153</v>
      </c>
      <c r="C6" s="8">
        <v>8</v>
      </c>
      <c r="D6" s="8">
        <v>56</v>
      </c>
      <c r="E6" s="8">
        <v>46</v>
      </c>
      <c r="F6" s="9">
        <f>E6/60+D6+C6*60</f>
        <v>536.76666666666665</v>
      </c>
      <c r="G6" s="10">
        <v>2600000</v>
      </c>
      <c r="H6" s="10">
        <v>3900000</v>
      </c>
      <c r="I6" s="10">
        <v>669890</v>
      </c>
      <c r="J6" s="10">
        <v>216426</v>
      </c>
      <c r="K6" s="11">
        <f>B6*(U10-U9)</f>
        <v>51530</v>
      </c>
      <c r="L6" s="31">
        <f>F6/$B6</f>
        <v>0.10416585807620156</v>
      </c>
      <c r="M6" s="9">
        <f>G6/$B6</f>
        <v>504.56045022317096</v>
      </c>
      <c r="N6" s="9">
        <f>H6/$B6</f>
        <v>756.8406753347565</v>
      </c>
      <c r="O6" s="9">
        <f>I6/$B6</f>
        <v>130</v>
      </c>
      <c r="P6" s="9">
        <f>J6/$B6</f>
        <v>42</v>
      </c>
      <c r="Q6" s="32">
        <f t="shared" ref="Q6" si="3">K6/B6</f>
        <v>10</v>
      </c>
      <c r="R6" s="44">
        <f t="shared" si="2"/>
        <v>96.000745202757258</v>
      </c>
      <c r="S6" s="42"/>
      <c r="T6">
        <v>5</v>
      </c>
      <c r="U6">
        <v>12</v>
      </c>
    </row>
    <row r="7" spans="1:2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38">
        <f>L5+L6</f>
        <v>0.75809711984644645</v>
      </c>
      <c r="M7" s="39">
        <f t="shared" ref="M7:Q7" si="4">M5+M6</f>
        <v>853.56045022317096</v>
      </c>
      <c r="N7" s="39">
        <f t="shared" si="4"/>
        <v>1272.8406753347565</v>
      </c>
      <c r="O7" s="39">
        <f t="shared" si="4"/>
        <v>999.48587570621464</v>
      </c>
      <c r="P7" s="39">
        <f t="shared" si="4"/>
        <v>70</v>
      </c>
      <c r="Q7" s="40">
        <f t="shared" si="4"/>
        <v>45</v>
      </c>
      <c r="R7" s="47">
        <f>Q7/L7</f>
        <v>59.359149140567645</v>
      </c>
      <c r="T7">
        <v>6</v>
      </c>
      <c r="U7">
        <v>18</v>
      </c>
    </row>
    <row r="8" spans="1:21" x14ac:dyDescent="0.25">
      <c r="T8">
        <v>7</v>
      </c>
      <c r="U8">
        <v>25</v>
      </c>
    </row>
    <row r="9" spans="1:21" x14ac:dyDescent="0.25">
      <c r="T9">
        <v>8</v>
      </c>
      <c r="U9">
        <v>35</v>
      </c>
    </row>
    <row r="10" spans="1:21" x14ac:dyDescent="0.25">
      <c r="T10">
        <v>9</v>
      </c>
      <c r="U10">
        <v>45</v>
      </c>
    </row>
    <row r="11" spans="1:21" x14ac:dyDescent="0.25">
      <c r="T11">
        <v>10</v>
      </c>
      <c r="U11">
        <v>60</v>
      </c>
    </row>
  </sheetData>
  <mergeCells count="2">
    <mergeCell ref="B1:K1"/>
    <mergeCell ref="L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Vitale</dc:creator>
  <cp:lastModifiedBy>Giorgio Vitale</cp:lastModifiedBy>
  <dcterms:created xsi:type="dcterms:W3CDTF">2026-01-11T08:29:09Z</dcterms:created>
  <dcterms:modified xsi:type="dcterms:W3CDTF">2026-01-11T08:51:09Z</dcterms:modified>
</cp:coreProperties>
</file>